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цептура" sheetId="1" state="visible" r:id="rId3"/>
    <sheet name="Технология" sheetId="2" state="visible" r:id="rId4"/>
    <sheet name="ЕС и изменения" sheetId="3" state="visible" r:id="rId5"/>
  </sheets>
  <definedNames>
    <definedName function="false" hidden="false" localSheetId="0" name="_xlnm.Print_Titles" vbProcedure="false">Рецептура!$4:$4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<sst xmlns="http://schemas.openxmlformats.org/spreadsheetml/2006/main" count="323" uniqueCount="281">
  <si>
    <t xml:space="preserve">Рецептура: несмываемый спрей-молочко для волос типа ESTEL 18 PLUS (рынок ЕС, без D5). Версия 1.2 от 08.10.2026</t>
  </si>
  <si>
    <t xml:space="preserve">Однородная белая эмульсия на катионных ПАВ, вязкость около 100 мПа·с, pH 4,8. Версия 1.2: комплекс 18-MEA убран, катионная пара собрана на Behentrimonium Chloride и цетиловом спирте; Germaben II и феноксиэтанол заменены на Euxyl PE 9010 + сорбат калия. Дозировки: оценка по INCI оригинала и измерениям эталона (pH 5, плотность 1,01, вязкость около 100 мПа·с), требуют лабораторной проверки. Синим выделены вводимые значения (дозировки, активность сырья), чёрным: формулы.</t>
  </si>
  <si>
    <t xml:space="preserve">№</t>
  </si>
  <si>
    <t xml:space="preserve">Фаза</t>
  </si>
  <si>
    <t xml:space="preserve">INCI</t>
  </si>
  <si>
    <t xml:space="preserve">Сырьё: пример / аналог</t>
  </si>
  <si>
    <t xml:space="preserve">Активное в сырье, %</t>
  </si>
  <si>
    <t xml:space="preserve">Ввод, % масс.</t>
  </si>
  <si>
    <t xml:space="preserve">Активное в продукте, %</t>
  </si>
  <si>
    <t xml:space="preserve">Функция</t>
  </si>
  <si>
    <t xml:space="preserve">Примечание</t>
  </si>
  <si>
    <t xml:space="preserve">Фаза A. Водная фаза, нагрев до 75–80 °C</t>
  </si>
  <si>
    <t xml:space="preserve">A</t>
  </si>
  <si>
    <t xml:space="preserve">Aqua</t>
  </si>
  <si>
    <t xml:space="preserve">Вода деионизированная (проводимость &lt;10 мкСм/см)</t>
  </si>
  <si>
    <t xml:space="preserve">Растворитель, основа</t>
  </si>
  <si>
    <t xml:space="preserve">До 100 %; долить с учётом потерь на испарение</t>
  </si>
  <si>
    <t xml:space="preserve">Tetrasodium EDTA</t>
  </si>
  <si>
    <t xml:space="preserve">Dissolvine NA-2 (Nouryon) / Trilon B Powder (BASF)</t>
  </si>
  <si>
    <t xml:space="preserve">Хелатор</t>
  </si>
  <si>
    <t xml:space="preserve">Растворить первым; также защищает сорбат от окисления</t>
  </si>
  <si>
    <t xml:space="preserve">Glycerin</t>
  </si>
  <si>
    <t xml:space="preserve">Глицерин растительный 99,5 %</t>
  </si>
  <si>
    <t xml:space="preserve">Увлажнитель</t>
  </si>
  <si>
    <t xml:space="preserve">Sorbitol</t>
  </si>
  <si>
    <t xml:space="preserve">Neosorb 70/70 B (Roquette), раствор 70 %</t>
  </si>
  <si>
    <t xml:space="preserve">0,7 % активного</t>
  </si>
  <si>
    <t xml:space="preserve">Propylene Glycol</t>
  </si>
  <si>
    <t xml:space="preserve">Пропиленгликоль USP</t>
  </si>
  <si>
    <t xml:space="preserve">Увлажнитель, носитель</t>
  </si>
  <si>
    <t xml:space="preserve">Betaine</t>
  </si>
  <si>
    <t xml:space="preserve">Genencare OSMS BA (IFF) или аналог (триметилглицин)</t>
  </si>
  <si>
    <t xml:space="preserve">Осмолит, увлажнение, антистатик</t>
  </si>
  <si>
    <t xml:space="preserve">Niacinamide</t>
  </si>
  <si>
    <t xml:space="preserve">Ниацинамид косметический (BASF / DSM / Lonza)</t>
  </si>
  <si>
    <t xml:space="preserve">Актив: уход за кожей головы, укрепление</t>
  </si>
  <si>
    <t xml:space="preserve">Стабилен при pH 4,5–5</t>
  </si>
  <si>
    <t xml:space="preserve">Caffeine</t>
  </si>
  <si>
    <t xml:space="preserve">Кофеин безводный, косметический</t>
  </si>
  <si>
    <t xml:space="preserve">Актив</t>
  </si>
  <si>
    <t xml:space="preserve">Растворять в горячей фазе A</t>
  </si>
  <si>
    <t xml:space="preserve">Sodium Hyaluronate</t>
  </si>
  <si>
    <t xml:space="preserve">Гиалуронат натрия, ММ 1,0–1,8 МДа (Contipro / Bloomage), порошок</t>
  </si>
  <si>
    <t xml:space="preserve">Увлажнение, плёнка</t>
  </si>
  <si>
    <t xml:space="preserve">Распылить в фазу A при перемешивании до нагрева; альтернатива: 2,0 % 1 %-го раствора в фазу D. Анионный полимер: не более 0,05 %</t>
  </si>
  <si>
    <t xml:space="preserve">Фаза B. Масляная фаза, нагрев до 75–80 °C</t>
  </si>
  <si>
    <t xml:space="preserve">B</t>
  </si>
  <si>
    <t xml:space="preserve">Behentrimonium Chloride</t>
  </si>
  <si>
    <t xml:space="preserve">Гранулы ~80 %: Genamin KDMP (Clariant), Incroquat Behenyl TMC-85 (Croda, 85 %), Varisoft BT 85 Pellets (Evonik); не европейские: Quartamin AB (Kao, Япония), Behentrimonium Chloride 80 % китайских производителей (напр., Suzhou Wedo Chemicals)</t>
  </si>
  <si>
    <t xml:space="preserve">Единственный катионный эмульгатор: кондиционер, антистатик, термозащита; с цетиловым спиртом даёт структуру эмульсии</t>
  </si>
  <si>
    <t xml:space="preserve">1,0 % активного: столько же квата, сколько давали BTAC + BTMS в версиях 1.0 и 1.1. Растворитель грейда (изопропанол или этанол) указать в INCI. ЕС Annex III/287: не более 3 % в несмываемых средствах для волос. Если нужна мягкость метосульфата: не европейский BTMS-50 с INCI Behentrimonium Methosulfate, Cetyl Alcohol, Butylene Glycol, напр. Samyang KCI BTMS 7550KC (Корея): 0,8 % при BTAC 0,75 % и цетиловом спирте 0,4 %</t>
  </si>
  <si>
    <t xml:space="preserve">Cetyl Alcohol</t>
  </si>
  <si>
    <t xml:space="preserve">Lanette 16 (BASF) / Crodacol C90 (Croda) / TEGO Alkanol 16 (Evonik); не европейские: цетиловый спирт 98 % азиатских олеохимических производителей (Малайзия, Индонезия, напр. KLK Oleo)</t>
  </si>
  <si>
    <t xml:space="preserve">Структурообразователь, регулятор вязкости</t>
  </si>
  <si>
    <t xml:space="preserve">0,7 %: весь жирный спирт теперь отдельным сырьём, раньше ~0,6 % приходило со смесевыми комплексами. Диапазон 0,5–0,9 %: больше спирта, выше вязкость</t>
  </si>
  <si>
    <t xml:space="preserve">C12-15 Alkyl Benzoate</t>
  </si>
  <si>
    <t xml:space="preserve">Finsolv TN (Innospec) / Tegosoft TN (Evonik) / Crodamol AB (Croda)</t>
  </si>
  <si>
    <t xml:space="preserve">Лёгкий эмолент, растворитель УФ-фильтра</t>
  </si>
  <si>
    <t xml:space="preserve">Ethylhexyl Methoxycinnamate</t>
  </si>
  <si>
    <t xml:space="preserve">Uvinul MC 80 (BASF) / Parsol MCX (DSM) / Eusolex 2292 (Merck)</t>
  </si>
  <si>
    <t xml:space="preserve">УФ-защита волос и цвета</t>
  </si>
  <si>
    <t xml:space="preserve">ЕС Annex VI/12: не более 10 %</t>
  </si>
  <si>
    <t xml:space="preserve">Phenyl Trimethicone</t>
  </si>
  <si>
    <t xml:space="preserve">DOWSIL 556 Cosmetic Grade Fluid (Dow) / BELSIL PDM 20 (Wacker)</t>
  </si>
  <si>
    <t xml:space="preserve">Блеск, гладкость, термозащита</t>
  </si>
  <si>
    <t xml:space="preserve">Dimethicone (and) Dimethiconol</t>
  </si>
  <si>
    <t xml:space="preserve">XIAMETER PMX-1503 (Dow)</t>
  </si>
  <si>
    <t xml:space="preserve">Плёнка диметиконола: гладкость, защита кончиков, устойчивость к смыванию</t>
  </si>
  <si>
    <t xml:space="preserve">Замена XIAMETER PMX-1501 (Cyclopentasiloxane + Dimethiconol) без D5 для ЕС. Содержание диметиконола уточнить по TDS (ориентир 13–15 %)</t>
  </si>
  <si>
    <t xml:space="preserve">Argania Spinosa Kernel Oil</t>
  </si>
  <si>
    <t xml:space="preserve">Масло арганы рафинированное</t>
  </si>
  <si>
    <t xml:space="preserve">Питание, блеск</t>
  </si>
  <si>
    <t xml:space="preserve">Gossypium Herbaceum (Cotton) Seed Oil</t>
  </si>
  <si>
    <t xml:space="preserve">Масло семян хлопка рафинированное</t>
  </si>
  <si>
    <t xml:space="preserve">Питание</t>
  </si>
  <si>
    <t xml:space="preserve">PEG/PPG-15/15 Dimethicone</t>
  </si>
  <si>
    <t xml:space="preserve">Силиконовый полиэфир; при недоступности: BELSIL DMC 6031 (Wacker, PEG/PPG-25/25 Dimethicone)</t>
  </si>
  <si>
    <t xml:space="preserve">Соэмульгатор, равномерное распределение по волосу</t>
  </si>
  <si>
    <t xml:space="preserve">Замена меняет INCI на PEG/PPG-25/25 Dimethicone</t>
  </si>
  <si>
    <t xml:space="preserve">Фаза C. Летучий носитель, ввод при температуре не выше 40 °C с гомогенизацией</t>
  </si>
  <si>
    <t xml:space="preserve">C</t>
  </si>
  <si>
    <t xml:space="preserve">Isododecane</t>
  </si>
  <si>
    <t xml:space="preserve">Isododecane (Ineos Oligomers) / Permethyl 99A (Presperse)</t>
  </si>
  <si>
    <t xml:space="preserve">Летучий носитель: лёгкость, быстрое высыхание, без утяжеления</t>
  </si>
  <si>
    <t xml:space="preserve">Температура вспышки около 45 °C: вводить при температуре не выше 40 °C в закрытой ёмкости, гомогенизация 1–2 мин. Основной летучий носитель вместо D5</t>
  </si>
  <si>
    <t xml:space="preserve">Фаза D. Водорастворимые активы, ввод при температуре не выше 40 °C, перемешивание</t>
  </si>
  <si>
    <t xml:space="preserve">D</t>
  </si>
  <si>
    <t xml:space="preserve">Silicone Quaternium-18 (and) Trideceth-6 (and) Trideceth-12</t>
  </si>
  <si>
    <t xml:space="preserve">Silsoft Q PMF (Momentive)</t>
  </si>
  <si>
    <t xml:space="preserve">Катионный силикон: антистатик, блеск, лёгкое расчёсывание</t>
  </si>
  <si>
    <t xml:space="preserve">Микроэмульсия, вводить в готовую эмульсию при температуре не выше 40 °C</t>
  </si>
  <si>
    <t xml:space="preserve">PEG-12 Dimethicone</t>
  </si>
  <si>
    <t xml:space="preserve">XIAMETER OFX-0193 (Dow)</t>
  </si>
  <si>
    <t xml:space="preserve">Водорастворимый силикон: смачивание, мягкость, распыление</t>
  </si>
  <si>
    <t xml:space="preserve">Panthenol</t>
  </si>
  <si>
    <t xml:space="preserve">D-Panthenol 75 W (BASF), раствор 75 %</t>
  </si>
  <si>
    <t xml:space="preserve">Провитамин B5: увлажнение, эластичность</t>
  </si>
  <si>
    <t xml:space="preserve">0,5 % активного</t>
  </si>
  <si>
    <t xml:space="preserve">Sodium PCA</t>
  </si>
  <si>
    <t xml:space="preserve">Ajidew N-50 (Ajinomoto), раствор 50 %</t>
  </si>
  <si>
    <t xml:space="preserve">Увлажнитель, компонент NMF</t>
  </si>
  <si>
    <t xml:space="preserve">Acetamidoethoxyethanol</t>
  </si>
  <si>
    <t xml:space="preserve">ElfaMoist AC (Nouryon)</t>
  </si>
  <si>
    <t xml:space="preserve">Увлажнитель длительного действия</t>
  </si>
  <si>
    <t xml:space="preserve">Hydrolyzed Keratin</t>
  </si>
  <si>
    <t xml:space="preserve">Гидролизат кератина, раствор 20–30 % (Keratec IFP PE, Keraplast; аналоги TRI-K, Croda)</t>
  </si>
  <si>
    <t xml:space="preserve">Восстановление, укрепление, термозащита</t>
  </si>
  <si>
    <t xml:space="preserve">Активное зависит от грейда</t>
  </si>
  <si>
    <t xml:space="preserve">Hydrolyzed Silk</t>
  </si>
  <si>
    <t xml:space="preserve">Гидролизат шёлка, раствор (Crosilk Liquid, Croda; аналоги)</t>
  </si>
  <si>
    <t xml:space="preserve">Гладкость, блеск, увлажнение</t>
  </si>
  <si>
    <t xml:space="preserve">Glycine Soja Protein</t>
  </si>
  <si>
    <t xml:space="preserve">Соевый протеин, водно-гликолевый раствор</t>
  </si>
  <si>
    <t xml:space="preserve">Укрепление, объём</t>
  </si>
  <si>
    <t xml:space="preserve">В INCI ЕС: Glycine Soja Protein (на упаковке оригинала: Glycine Soya Protein)</t>
  </si>
  <si>
    <t xml:space="preserve">Oryza Sativa Extract</t>
  </si>
  <si>
    <t xml:space="preserve">Экстракт риса водно-гликолевый</t>
  </si>
  <si>
    <t xml:space="preserve">Уход, мягкость</t>
  </si>
  <si>
    <t xml:space="preserve">Доза по сырью; обычно 0,1–0,5 %</t>
  </si>
  <si>
    <t xml:space="preserve">Triticum Vulgare (Wheat) Germ Extract</t>
  </si>
  <si>
    <t xml:space="preserve">Экстракт зародышей пшеницы водно-гликолевый</t>
  </si>
  <si>
    <t xml:space="preserve">Уход, питание</t>
  </si>
  <si>
    <t xml:space="preserve">Доза по сырью</t>
  </si>
  <si>
    <t xml:space="preserve">Carboxymethyl Chitin</t>
  </si>
  <si>
    <t xml:space="preserve">Карбоксиметилхитин, раствор 1 %</t>
  </si>
  <si>
    <t xml:space="preserve">Плёнкообразователь, увлажнение</t>
  </si>
  <si>
    <t xml:space="preserve">0,01 % активного; анионный полимер</t>
  </si>
  <si>
    <t xml:space="preserve">Etidronic Acid</t>
  </si>
  <si>
    <t xml:space="preserve">Dequest 2010 / Turpinal SL (Italmatch), раствор 60 %</t>
  </si>
  <si>
    <t xml:space="preserve">Хелатор, стабилизатор отдушки и цвета</t>
  </si>
  <si>
    <t xml:space="preserve">ЕС Annex III/53: не более 1,5 % в средствах для волос</t>
  </si>
  <si>
    <t xml:space="preserve">Фаза E. Консерванты и отдушка, ввод при температуре не выше 35 °C</t>
  </si>
  <si>
    <t xml:space="preserve">E</t>
  </si>
  <si>
    <t xml:space="preserve">Phenoxyethanol (and) Ethylhexylglycerin</t>
  </si>
  <si>
    <t xml:space="preserve">Euxyl PE 9010 (Schülke): феноксиэтанол 90 % + этилгексилглицерин 10 %; не европейский вариант: Phenoxyethanol 0,9 % + Ethylhexylglycerin 0,1 % по отдельности, любых производителей (Китай, Индия)</t>
  </si>
  <si>
    <t xml:space="preserve">Консервант широкого спектра с усилителем (замена феноксиэтанола 0,5 % и Germaben II 0,8 %)</t>
  </si>
  <si>
    <t xml:space="preserve">Даёт феноксиэтанол 0,9 % (лимит ЕС 1,0 %, Annex V/29) и этилгексилглицерин 0,1 %. Аналог в одном компоненте: Optiphen Plus (Ashland) 1,0 % при pH ниже 6, тогда отдельный сорбат не нужен</t>
  </si>
  <si>
    <t xml:space="preserve">Potassium Sorbate</t>
  </si>
  <si>
    <t xml:space="preserve">Сорбат калия, косметический; растворить в воде 1:5 перед вводом</t>
  </si>
  <si>
    <t xml:space="preserve">Противогрибковый компонент (плесени, дрожжи)</t>
  </si>
  <si>
    <t xml:space="preserve">Работает в виде недиссоциированной сорбиновой кислоты, поэтому pH 4,6–5,0. ЕС Annex V/4: не более 0,6 % в пересчёте на кислоту (здесь ~0,22 %). Вводить до корректировки pH; беречь массу от света, EDTA в рецептуре защищает от окисления</t>
  </si>
  <si>
    <t xml:space="preserve">PEG-40 Hydrogenated Castor Oil</t>
  </si>
  <si>
    <t xml:space="preserve">Kolliphor RH 40 / Eumulgin HRE 40 (BASF) / Croduret 40 (Croda)</t>
  </si>
  <si>
    <t xml:space="preserve">Солюбилизатор отдушки, стабильность распыления</t>
  </si>
  <si>
    <t xml:space="preserve">Смешать с отдушкой до прозрачности, затем ввести в массу</t>
  </si>
  <si>
    <t xml:space="preserve">Parfum</t>
  </si>
  <si>
    <t xml:space="preserve">Отдушка заказчика с IFRA-сертификатом и декларацией аллергенов</t>
  </si>
  <si>
    <t xml:space="preserve">Отдушка</t>
  </si>
  <si>
    <t xml:space="preserve">Аллергены в INCI по декларации поставщика. ЕС: порог 0,001 % для несмываемых; новый список аллергенов (Регл. 2023/1545) для новых продуктов с 31.07.2026</t>
  </si>
  <si>
    <t xml:space="preserve">Фаза F. Корректировка</t>
  </si>
  <si>
    <t xml:space="preserve">F</t>
  </si>
  <si>
    <t xml:space="preserve">Lactic Acid</t>
  </si>
  <si>
    <t xml:space="preserve">Молочная кислота 80 % (Purac HS 80, Corbion), вводить как 20 % водный раствор</t>
  </si>
  <si>
    <t xml:space="preserve">Регулятор pH</t>
  </si>
  <si>
    <t xml:space="preserve">q.s. до pH 4,8 ± 0,2; ориентир 0,15–0,35 % по кислоте 80 % (сорбат слегка подщелачивает)</t>
  </si>
  <si>
    <t xml:space="preserve">ИТОГО</t>
  </si>
  <si>
    <t xml:space="preserve">Сумма по фазам, % масс.</t>
  </si>
  <si>
    <t xml:space="preserve">Масляная фаза без эмульгаторов (поз. 12–19)</t>
  </si>
  <si>
    <t xml:space="preserve">Катионные ПАВ и цетиловый спирт, по сырью (поз. 10–11)</t>
  </si>
  <si>
    <t xml:space="preserve">Источники по сырью: Momentive (Silsoft Q PMF), Dow (XIAMETER PMX-1503, OFX-0193, DOWSIL 556), Nouryon (ElfaMoist AC), Schülke (Euxyl PE 9010); составы по TDS поставщиков. Параметры эталона: измерения технолога-заказчика.</t>
  </si>
  <si>
    <t xml:space="preserve">Порядок изготовления (лабораторный замес, роторно-статорный гомогенизатор)</t>
  </si>
  <si>
    <t xml:space="preserve">Шаг</t>
  </si>
  <si>
    <t xml:space="preserve">Стадия</t>
  </si>
  <si>
    <t xml:space="preserve">Операция</t>
  </si>
  <si>
    <t xml:space="preserve">1</t>
  </si>
  <si>
    <t xml:space="preserve">Фаза A</t>
  </si>
  <si>
    <t xml:space="preserve">В воду при перемешивании ввести EDTA, затем глицерин, сорбитол, пропиленгликоль, бетаин, ниацинамид, кофеин; распылить гиалуронат. Нагреть до 75–80 °C, перемешивать до полного растворения.</t>
  </si>
  <si>
    <t xml:space="preserve">2</t>
  </si>
  <si>
    <t xml:space="preserve">Фаза B</t>
  </si>
  <si>
    <t xml:space="preserve">Сплавить компоненты при 75–80 °C до однородного прозрачного расплава.</t>
  </si>
  <si>
    <t xml:space="preserve">3</t>
  </si>
  <si>
    <t xml:space="preserve">Эмульгирование</t>
  </si>
  <si>
    <t xml:space="preserve">Ввести фазу B в фазу A при 75–80 °C под роторно-статорным гомогенизатором, 3–5 мин (лабораторно 3000–5000 об/мин). Перейти на якорную или лопастную мешалку, начать охлаждение.</t>
  </si>
  <si>
    <t xml:space="preserve">4</t>
  </si>
  <si>
    <t xml:space="preserve">Фаза C</t>
  </si>
  <si>
    <t xml:space="preserve">При температуре не выше 40 °C ввести изододекан, гомогенизация 1–2 мин, закрытая ёмкость, без открытого огня.</t>
  </si>
  <si>
    <t xml:space="preserve">5</t>
  </si>
  <si>
    <t xml:space="preserve">Фаза D</t>
  </si>
  <si>
    <t xml:space="preserve">При температуре не выше 40 °C ввести компоненты по одному, перемешивая до однородности после каждого.</t>
  </si>
  <si>
    <t xml:space="preserve">6</t>
  </si>
  <si>
    <t xml:space="preserve">Фаза E</t>
  </si>
  <si>
    <t xml:space="preserve">При температуре не выше 35 °C ввести Euxyl PE 9010, затем раствор сорбата калия (1:5 в воде из рецептурного количества), затем отдушку, заранее смешанную с PEG-40 HCO.</t>
  </si>
  <si>
    <t xml:space="preserve">7</t>
  </si>
  <si>
    <t xml:space="preserve">Фаза F</t>
  </si>
  <si>
    <t xml:space="preserve">Довести pH до 4,8 ± 0,2 молочной кислотой (20 % раствор). Долить воду до 100 % с учётом потерь. Перемешивать 10 мин, удалить воздух (вакуум или отстаивание).</t>
  </si>
  <si>
    <t xml:space="preserve">Контроль готового продукта (ориентиры под эталон)</t>
  </si>
  <si>
    <t xml:space="preserve">Показатель</t>
  </si>
  <si>
    <t xml:space="preserve">Норма</t>
  </si>
  <si>
    <t xml:space="preserve">Внешний вид</t>
  </si>
  <si>
    <t xml:space="preserve">Белое однородное молочко без расслоения и комков</t>
  </si>
  <si>
    <t xml:space="preserve">pH (20 °C)</t>
  </si>
  <si>
    <t xml:space="preserve">4,8 ± 0,2 (эталон 5,0; снижено, чтобы работал сорбат)</t>
  </si>
  <si>
    <t xml:space="preserve">Вязкость</t>
  </si>
  <si>
    <t xml:space="preserve">80–150 мПа·с (эталон: около 100; по методике технолога)</t>
  </si>
  <si>
    <t xml:space="preserve">Плотность</t>
  </si>
  <si>
    <t xml:space="preserve">1,00–1,01 г/см³ (эталон: 1,01; расчётная около 1,00)</t>
  </si>
  <si>
    <t xml:space="preserve">Распыление</t>
  </si>
  <si>
    <t xml:space="preserve">Равномерный факел без крупных капель, помпа не забивается после 50 нажатий</t>
  </si>
  <si>
    <t xml:space="preserve">Стабильность</t>
  </si>
  <si>
    <t xml:space="preserve">По внутренним стандартам лаборатории; ориентир: центрифуга 3000 об/мин 30 мин, 3 цикла заморозки, 45 °C 1–3 мес</t>
  </si>
  <si>
    <t xml:space="preserve">Микробиология</t>
  </si>
  <si>
    <t xml:space="preserve">Challenge-тест по ISO 11930 обязателен для досье ЕС: новая система консервации без парабенов</t>
  </si>
  <si>
    <t xml:space="preserve">Тонкая настройка</t>
  </si>
  <si>
    <t xml:space="preserve">Проблема</t>
  </si>
  <si>
    <t xml:space="preserve">Действие</t>
  </si>
  <si>
    <t xml:space="preserve">Вязкость ниже целевой</t>
  </si>
  <si>
    <t xml:space="preserve">Цетиловый спирт +0,1–0,2 %</t>
  </si>
  <si>
    <t xml:space="preserve">Вязкость выше целевой</t>
  </si>
  <si>
    <t xml:space="preserve">Цетиловый спирт −0,1 % или Behentrimonium Chloride −0,1 %</t>
  </si>
  <si>
    <t xml:space="preserve">Отстой масла или сливки</t>
  </si>
  <si>
    <t xml:space="preserve">Усилить гомогенизацию на стадии 3; Behentrimonium Chloride до 1,5 % по сырью</t>
  </si>
  <si>
    <t xml:space="preserve">Помутнение, осадок</t>
  </si>
  <si>
    <t xml:space="preserve">Проверить совместимость анионных компонентов (гиалуронат, КМ-хитин, сорбат) с катионными; снизить их уровень</t>
  </si>
  <si>
    <t xml:space="preserve">Не прошёл challenge-тест по плесени</t>
  </si>
  <si>
    <t xml:space="preserve">pH до 4,6; сорбат калия до 0,4 % (лимит 0,6 % как кислота) или перейти на Optiphen Plus 1,2 %</t>
  </si>
  <si>
    <t xml:space="preserve">Слишком тяжёлые волосы</t>
  </si>
  <si>
    <t xml:space="preserve">Снизить PMX-1503 до 1,0 % и Phenyl Trimethicone до 0,3 %; изододекан оставить</t>
  </si>
  <si>
    <t xml:space="preserve">Отличия от оригинала и соответствие Регламенту (ЕС) 1223/2009</t>
  </si>
  <si>
    <t xml:space="preserve">Что изменено относительно INCI оригинала</t>
  </si>
  <si>
    <t xml:space="preserve">Компонент</t>
  </si>
  <si>
    <t xml:space="preserve">Решение</t>
  </si>
  <si>
    <t xml:space="preserve">Основание</t>
  </si>
  <si>
    <t xml:space="preserve">Cyclopentasiloxane (D5)</t>
  </si>
  <si>
    <t xml:space="preserve">Исключён</t>
  </si>
  <si>
    <t xml:space="preserve">Регл. (ЕС) 2024/1328 (REACH, запись 70): D4, D5, D6 не более 0,1 % в несмываемых косметических средствах с 06.06.2027. Замена: XIAMETER PMX-1503 (диметиконол в линейном диметиконе) плюс изододекан как летучий носитель.</t>
  </si>
  <si>
    <t xml:space="preserve">Cutissential Behenyl 18-MEA (Behentrimonium Methosulfate + C10-40 Isoalkylamidopropylethyldimonium Ethosulfate + Cetyl Alcohol)</t>
  </si>
  <si>
    <t xml:space="preserve">Заменён</t>
  </si>
  <si>
    <t xml:space="preserve">Версия 1.2: без нового смесевого сырья. Катионная пара собрана из уже имеющегося: Behentrimonium Chloride 1,25 % по сырью (1,0 % активного) плюс цетиловый спирт 0,7 %. Сумма катионных ПАВ 1,0 % и жирного спирта ~0,7 % те же, что в версиях 1.0 и 1.1, поэтому вязкость, стабильность эмульсии и кондиционирование сохраняются; уходит заявление о липиде 18-MEA. В INCI: минус C10-40 кват и Behentrimonium Methosulfate, новых компонентов нет. Если нужна мягкость метосульфата: не европейский BTMS-50 с INCI Behentrimonium Methosulfate, Cetyl Alcohol, Butylene Glycol (Samyang KCI BTMS 7550KC, Корея) 0,8 % при BTAC 0,75 % и цетиловом спирте 0,4 %. У китайских «BTMS-50» часто цетеариловый спирт: проверять INCI по COA.</t>
  </si>
  <si>
    <t xml:space="preserve">Germaben II (Propylene Glycol, Diazolidinyl Urea, Methylparaben, Propylparaben) и Phenoxyethanol 0,5 %</t>
  </si>
  <si>
    <t xml:space="preserve">Заменены</t>
  </si>
  <si>
    <t xml:space="preserve">Euxyl PE 9010 (Phenoxyethanol 90 % + Ethylhexylglycerin 10 %) 1,0 % плюс Potassium Sorbate 0,3 %, pH 4,8. Причины: диазолидинилмочевина выделяет формальдегид (маркировка «выделяет формальдегид» по Регл. 2022/1181, контактный аллерген), парабены нежелательны для розницы ЕС, а феноксиэтанол уже был в составе. Новая система без парабенов, формальдегид-доноров и маркируемых аллергенов; сорбат закрывает плесени и дрожжи, слабое место феноксиэтанола. Общая нагрузка консервантов 1,3 %, как раньше.</t>
  </si>
  <si>
    <t xml:space="preserve">CI 60730</t>
  </si>
  <si>
    <t xml:space="preserve">Эталон белый, по решению заказчика краситель не нужен.</t>
  </si>
  <si>
    <t xml:space="preserve">Остальной состав</t>
  </si>
  <si>
    <t xml:space="preserve">Сохранён</t>
  </si>
  <si>
    <t xml:space="preserve">Все остальные INCI оригинала сохранены; порядок INCI готового продукта изменится (см. раздел INCI).</t>
  </si>
  <si>
    <t xml:space="preserve">Регуляторные лимиты ЕС и уровни в рецептуре</t>
  </si>
  <si>
    <t xml:space="preserve">Вещество</t>
  </si>
  <si>
    <t xml:space="preserve">Ссылка</t>
  </si>
  <si>
    <t xml:space="preserve">Лимит / требование</t>
  </si>
  <si>
    <t xml:space="preserve">В рецептуре</t>
  </si>
  <si>
    <t xml:space="preserve">Annex III/287</t>
  </si>
  <si>
    <t xml:space="preserve">Не более 3 % в несмываемых средствах для волос</t>
  </si>
  <si>
    <t xml:space="preserve">1,00 %</t>
  </si>
  <si>
    <t xml:space="preserve">Annex VI/12</t>
  </si>
  <si>
    <t xml:space="preserve">Не более 10 %</t>
  </si>
  <si>
    <t xml:space="preserve">0,30 %</t>
  </si>
  <si>
    <t xml:space="preserve">Phenoxyethanol</t>
  </si>
  <si>
    <t xml:space="preserve">Annex V/29</t>
  </si>
  <si>
    <t xml:space="preserve">Не более 1,0 %</t>
  </si>
  <si>
    <t xml:space="preserve">0,90 % (из Euxyl PE 9010)</t>
  </si>
  <si>
    <t xml:space="preserve">Сорбиновая кислота и её соли</t>
  </si>
  <si>
    <t xml:space="preserve">Annex V/4</t>
  </si>
  <si>
    <t xml:space="preserve">Не более 0,6 % в пересчёте на кислоту</t>
  </si>
  <si>
    <t xml:space="preserve">Potassium Sorbate 0,30 % ≈ 0,22 % кислоты</t>
  </si>
  <si>
    <t xml:space="preserve">Ethylhexylglycerin</t>
  </si>
  <si>
    <t xml:space="preserve">Не нормируется</t>
  </si>
  <si>
    <t xml:space="preserve">Не входит в Annex V, усилитель консервантов без ограничений</t>
  </si>
  <si>
    <t xml:space="preserve">0,10 %</t>
  </si>
  <si>
    <t xml:space="preserve">Annex III/53</t>
  </si>
  <si>
    <t xml:space="preserve">Не более 1,5 % в средствах для волос</t>
  </si>
  <si>
    <t xml:space="preserve">0,03 %</t>
  </si>
  <si>
    <t xml:space="preserve">Парабены, Diazolidinyl Urea</t>
  </si>
  <si>
    <t xml:space="preserve">Annex V/12, 12a, 46</t>
  </si>
  <si>
    <t xml:space="preserve">Разрешены с лимитами, но исключены из рецептуры</t>
  </si>
  <si>
    <t xml:space="preserve">Отсутствуют</t>
  </si>
  <si>
    <t xml:space="preserve">Формальдегид</t>
  </si>
  <si>
    <t xml:space="preserve">Регл. 2022/1181</t>
  </si>
  <si>
    <t xml:space="preserve">Надпись «выделяет формальдегид» при содержании более 0,001 %</t>
  </si>
  <si>
    <t xml:space="preserve">Не требуется: формальдегид-доноров нет</t>
  </si>
  <si>
    <t xml:space="preserve">Аллергены отдушки</t>
  </si>
  <si>
    <t xml:space="preserve">Регл. 2023/1545</t>
  </si>
  <si>
    <t xml:space="preserve">Указывать в INCI при более 0,001 % в несмываемых; новый список для новых продуктов с 31.07.2026</t>
  </si>
  <si>
    <t xml:space="preserve">По декларации поставщика отдушки</t>
  </si>
  <si>
    <t xml:space="preserve">D4 / D5 / D6</t>
  </si>
  <si>
    <t xml:space="preserve">Регл. 2024/1328</t>
  </si>
  <si>
    <t xml:space="preserve">Не более 0,1 % в несмываемых с 06.06.2027</t>
  </si>
  <si>
    <t xml:space="preserve">Отсутствуют; запросить у поставщиков остаточное содержание в линейных силиконах</t>
  </si>
  <si>
    <t xml:space="preserve">Ориентировочный INCI готового продукта (по убыванию; компоненты ниже 1 % можно указывать в любом порядке)</t>
  </si>
  <si>
    <t xml:space="preserve">Aqua, Isododecane, Glycerin, Dimethicone, Behentrimonium Chloride, Phenoxyethanol, C12-15 Alkyl Benzoate, Sorbitol, Cetyl Alcohol, Propylene Glycol, Phenyl Trimethicone, Betaine, Sodium PCA, Panthenol, PEG-40 Hydrogenated Castor Oil, Acetamidoethoxyethanol, Parfum, Potassium Sorbate, Ethylhexyl Methoxycinnamate, PEG-12 Dimethicone, Silicone Quaternium-18, Argania Spinosa Kernel Oil, Dimethiconol, Niacinamide, PEG/PPG-15/15 Dimethicone, Lactic Acid, Hydrolyzed Keratin, Ethylhexylglycerin, Tetrasodium EDTA, Caffeine, Gossypium Herbaceum (Cotton) Seed Oil, Hydrolyzed Silk, Trideceth-6, Trideceth-12, Glycine Soja Protein, Oryza Sativa Extract, Triticum Vulgare (Wheat) Germ Extract, Etidronic Acid, Sodium Hyaluronate, Carboxymethyl Chitin, [растворитель грейда Behentrimonium Chloride], [аллергены отдушки по декларации]</t>
  </si>
  <si>
    <t xml:space="preserve">Порядок INCI уточняется после получения TDS на смесевое сырьё (доли компонентов в Silsoft Q PMF, PMX-1503) и выбора грейда Behentrimonium Chloride (растворитель грейда добавить в INCI).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</si>
</sst>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F5B7A"/>
        <bgColor rgb="FF555555"/>
      </patternFill>
    </fill>
    <fill>
      <patternFill patternType="solid">
        <fgColor rgb="FFDCE6F1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F5B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4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2"/>
    <col collapsed="false" customWidth="true" hidden="false" outlineLevel="0" max="9" min="9" style="0" width="56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23.85" hidden="false" customHeight="false" outlineLevel="0" collapsed="false">
      <c r="A6" s="5" t="n">
        <v>1</v>
      </c>
      <c r="B6" s="5" t="s">
        <v>12</v>
      </c>
      <c r="C6" s="6" t="s">
        <v>13</v>
      </c>
      <c r="D6" s="7" t="s">
        <v>14</v>
      </c>
      <c r="E6" s="8" t="n">
        <v>100</v>
      </c>
      <c r="F6" s="9" t="n">
        <f aca="false">100-SUM(F7:F46)</f>
        <v>79.68</v>
      </c>
      <c r="G6" s="9" t="n">
        <f aca="false">F6*E6/100</f>
        <v>79.68</v>
      </c>
      <c r="H6" s="7" t="s">
        <v>15</v>
      </c>
      <c r="I6" s="7" t="s">
        <v>16</v>
      </c>
    </row>
    <row r="7" customFormat="false" ht="23.85" hidden="false" customHeight="false" outlineLevel="0" collapsed="false">
      <c r="A7" s="5" t="n">
        <v>2</v>
      </c>
      <c r="B7" s="5" t="s">
        <v>12</v>
      </c>
      <c r="C7" s="6" t="s">
        <v>17</v>
      </c>
      <c r="D7" s="7" t="s">
        <v>18</v>
      </c>
      <c r="E7" s="8" t="n">
        <v>100</v>
      </c>
      <c r="F7" s="10" t="n">
        <v>0.1</v>
      </c>
      <c r="G7" s="9" t="n">
        <f aca="false">F7*E7/100</f>
        <v>0.1</v>
      </c>
      <c r="H7" s="7" t="s">
        <v>19</v>
      </c>
      <c r="I7" s="7" t="s">
        <v>20</v>
      </c>
    </row>
    <row r="8" customFormat="false" ht="15" hidden="false" customHeight="false" outlineLevel="0" collapsed="false">
      <c r="A8" s="5" t="n">
        <v>3</v>
      </c>
      <c r="B8" s="5" t="s">
        <v>12</v>
      </c>
      <c r="C8" s="6" t="s">
        <v>21</v>
      </c>
      <c r="D8" s="7" t="s">
        <v>22</v>
      </c>
      <c r="E8" s="8" t="n">
        <v>99.5</v>
      </c>
      <c r="F8" s="10" t="n">
        <v>1.5</v>
      </c>
      <c r="G8" s="9" t="n">
        <f aca="false">F8*E8/100</f>
        <v>1.4925</v>
      </c>
      <c r="H8" s="7" t="s">
        <v>23</v>
      </c>
      <c r="I8" s="7"/>
    </row>
    <row r="9" customFormat="false" ht="15" hidden="false" customHeight="false" outlineLevel="0" collapsed="false">
      <c r="A9" s="5" t="n">
        <v>4</v>
      </c>
      <c r="B9" s="5" t="s">
        <v>12</v>
      </c>
      <c r="C9" s="6" t="s">
        <v>24</v>
      </c>
      <c r="D9" s="7" t="s">
        <v>25</v>
      </c>
      <c r="E9" s="8" t="n">
        <v>70</v>
      </c>
      <c r="F9" s="10" t="n">
        <v>1</v>
      </c>
      <c r="G9" s="9" t="n">
        <f aca="false">F9*E9/100</f>
        <v>0.7</v>
      </c>
      <c r="H9" s="7" t="s">
        <v>23</v>
      </c>
      <c r="I9" s="7" t="s">
        <v>26</v>
      </c>
    </row>
    <row r="10" customFormat="false" ht="15" hidden="false" customHeight="false" outlineLevel="0" collapsed="false">
      <c r="A10" s="5" t="n">
        <v>5</v>
      </c>
      <c r="B10" s="5" t="s">
        <v>12</v>
      </c>
      <c r="C10" s="6" t="s">
        <v>27</v>
      </c>
      <c r="D10" s="7" t="s">
        <v>28</v>
      </c>
      <c r="E10" s="8" t="n">
        <v>100</v>
      </c>
      <c r="F10" s="10" t="n">
        <v>0.5</v>
      </c>
      <c r="G10" s="9" t="n">
        <f aca="false">F10*E10/100</f>
        <v>0.5</v>
      </c>
      <c r="H10" s="7" t="s">
        <v>29</v>
      </c>
      <c r="I10" s="7"/>
    </row>
    <row r="11" customFormat="false" ht="23.85" hidden="false" customHeight="false" outlineLevel="0" collapsed="false">
      <c r="A11" s="5" t="n">
        <v>6</v>
      </c>
      <c r="B11" s="5" t="s">
        <v>12</v>
      </c>
      <c r="C11" s="6" t="s">
        <v>30</v>
      </c>
      <c r="D11" s="7" t="s">
        <v>31</v>
      </c>
      <c r="E11" s="8" t="n">
        <v>100</v>
      </c>
      <c r="F11" s="10" t="n">
        <v>0.5</v>
      </c>
      <c r="G11" s="9" t="n">
        <f aca="false">F11*E11/100</f>
        <v>0.5</v>
      </c>
      <c r="H11" s="7" t="s">
        <v>32</v>
      </c>
      <c r="I11" s="7"/>
    </row>
    <row r="12" customFormat="false" ht="23.85" hidden="false" customHeight="false" outlineLevel="0" collapsed="false">
      <c r="A12" s="5" t="n">
        <v>7</v>
      </c>
      <c r="B12" s="5" t="s">
        <v>12</v>
      </c>
      <c r="C12" s="6" t="s">
        <v>33</v>
      </c>
      <c r="D12" s="7" t="s">
        <v>34</v>
      </c>
      <c r="E12" s="8" t="n">
        <v>100</v>
      </c>
      <c r="F12" s="10" t="n">
        <v>0.2</v>
      </c>
      <c r="G12" s="9" t="n">
        <f aca="false">F12*E12/100</f>
        <v>0.2</v>
      </c>
      <c r="H12" s="7" t="s">
        <v>35</v>
      </c>
      <c r="I12" s="7" t="s">
        <v>36</v>
      </c>
    </row>
    <row r="13" customFormat="false" ht="15" hidden="false" customHeight="false" outlineLevel="0" collapsed="false">
      <c r="A13" s="5" t="n">
        <v>8</v>
      </c>
      <c r="B13" s="5" t="s">
        <v>12</v>
      </c>
      <c r="C13" s="6" t="s">
        <v>37</v>
      </c>
      <c r="D13" s="7" t="s">
        <v>38</v>
      </c>
      <c r="E13" s="8" t="n">
        <v>100</v>
      </c>
      <c r="F13" s="10" t="n">
        <v>0.1</v>
      </c>
      <c r="G13" s="9" t="n">
        <f aca="false">F13*E13/100</f>
        <v>0.1</v>
      </c>
      <c r="H13" s="7" t="s">
        <v>39</v>
      </c>
      <c r="I13" s="7" t="s">
        <v>40</v>
      </c>
    </row>
    <row r="14" customFormat="false" ht="35.05" hidden="false" customHeight="false" outlineLevel="0" collapsed="false">
      <c r="A14" s="5" t="n">
        <v>9</v>
      </c>
      <c r="B14" s="5" t="s">
        <v>12</v>
      </c>
      <c r="C14" s="6" t="s">
        <v>41</v>
      </c>
      <c r="D14" s="7" t="s">
        <v>42</v>
      </c>
      <c r="E14" s="8" t="n">
        <v>100</v>
      </c>
      <c r="F14" s="10" t="n">
        <v>0.02</v>
      </c>
      <c r="G14" s="9" t="n">
        <f aca="false">F14*E14/100</f>
        <v>0.02</v>
      </c>
      <c r="H14" s="7" t="s">
        <v>43</v>
      </c>
      <c r="I14" s="7" t="s">
        <v>44</v>
      </c>
    </row>
    <row r="15" customFormat="false" ht="15" hidden="false" customHeight="false" outlineLevel="0" collapsed="false">
      <c r="A15" s="4" t="s">
        <v>45</v>
      </c>
      <c r="B15" s="4"/>
      <c r="C15" s="4"/>
      <c r="D15" s="4"/>
      <c r="E15" s="4"/>
      <c r="F15" s="4"/>
      <c r="G15" s="4"/>
      <c r="H15" s="4"/>
      <c r="I15" s="4"/>
    </row>
    <row r="16" customFormat="false" ht="91" hidden="false" customHeight="false" outlineLevel="0" collapsed="false">
      <c r="A16" s="5" t="n">
        <v>10</v>
      </c>
      <c r="B16" s="5" t="s">
        <v>46</v>
      </c>
      <c r="C16" s="6" t="s">
        <v>47</v>
      </c>
      <c r="D16" s="7" t="s">
        <v>48</v>
      </c>
      <c r="E16" s="8" t="n">
        <v>80</v>
      </c>
      <c r="F16" s="10" t="n">
        <v>1.25</v>
      </c>
      <c r="G16" s="9" t="n">
        <f aca="false">F16*E16/100</f>
        <v>1</v>
      </c>
      <c r="H16" s="7" t="s">
        <v>49</v>
      </c>
      <c r="I16" s="7" t="s">
        <v>50</v>
      </c>
    </row>
    <row r="17" customFormat="false" ht="57.45" hidden="false" customHeight="false" outlineLevel="0" collapsed="false">
      <c r="A17" s="5" t="n">
        <v>11</v>
      </c>
      <c r="B17" s="5" t="s">
        <v>46</v>
      </c>
      <c r="C17" s="6" t="s">
        <v>51</v>
      </c>
      <c r="D17" s="7" t="s">
        <v>52</v>
      </c>
      <c r="E17" s="8" t="n">
        <v>100</v>
      </c>
      <c r="F17" s="10" t="n">
        <v>0.7</v>
      </c>
      <c r="G17" s="9" t="n">
        <f aca="false">F17*E17/100</f>
        <v>0.7</v>
      </c>
      <c r="H17" s="7" t="s">
        <v>53</v>
      </c>
      <c r="I17" s="7" t="s">
        <v>54</v>
      </c>
    </row>
    <row r="18" customFormat="false" ht="23.85" hidden="false" customHeight="false" outlineLevel="0" collapsed="false">
      <c r="A18" s="5" t="n">
        <v>12</v>
      </c>
      <c r="B18" s="5" t="s">
        <v>46</v>
      </c>
      <c r="C18" s="6" t="s">
        <v>55</v>
      </c>
      <c r="D18" s="7" t="s">
        <v>56</v>
      </c>
      <c r="E18" s="8" t="n">
        <v>100</v>
      </c>
      <c r="F18" s="10" t="n">
        <v>0.8</v>
      </c>
      <c r="G18" s="9" t="n">
        <f aca="false">F18*E18/100</f>
        <v>0.8</v>
      </c>
      <c r="H18" s="7" t="s">
        <v>57</v>
      </c>
      <c r="I18" s="7"/>
    </row>
    <row r="19" customFormat="false" ht="23.85" hidden="false" customHeight="false" outlineLevel="0" collapsed="false">
      <c r="A19" s="5" t="n">
        <v>13</v>
      </c>
      <c r="B19" s="5" t="s">
        <v>46</v>
      </c>
      <c r="C19" s="6" t="s">
        <v>58</v>
      </c>
      <c r="D19" s="7" t="s">
        <v>59</v>
      </c>
      <c r="E19" s="8" t="n">
        <v>100</v>
      </c>
      <c r="F19" s="10" t="n">
        <v>0.3</v>
      </c>
      <c r="G19" s="9" t="n">
        <f aca="false">F19*E19/100</f>
        <v>0.3</v>
      </c>
      <c r="H19" s="7" t="s">
        <v>60</v>
      </c>
      <c r="I19" s="7" t="s">
        <v>61</v>
      </c>
    </row>
    <row r="20" customFormat="false" ht="23.85" hidden="false" customHeight="false" outlineLevel="0" collapsed="false">
      <c r="A20" s="5" t="n">
        <v>14</v>
      </c>
      <c r="B20" s="5" t="s">
        <v>46</v>
      </c>
      <c r="C20" s="6" t="s">
        <v>62</v>
      </c>
      <c r="D20" s="7" t="s">
        <v>63</v>
      </c>
      <c r="E20" s="8" t="n">
        <v>100</v>
      </c>
      <c r="F20" s="10" t="n">
        <v>0.5</v>
      </c>
      <c r="G20" s="9" t="n">
        <f aca="false">F20*E20/100</f>
        <v>0.5</v>
      </c>
      <c r="H20" s="7" t="s">
        <v>64</v>
      </c>
      <c r="I20" s="7"/>
    </row>
    <row r="21" customFormat="false" ht="35.05" hidden="false" customHeight="false" outlineLevel="0" collapsed="false">
      <c r="A21" s="5" t="n">
        <v>15</v>
      </c>
      <c r="B21" s="5" t="s">
        <v>46</v>
      </c>
      <c r="C21" s="6" t="s">
        <v>65</v>
      </c>
      <c r="D21" s="7" t="s">
        <v>66</v>
      </c>
      <c r="E21" s="8" t="n">
        <v>100</v>
      </c>
      <c r="F21" s="10" t="n">
        <v>1.5</v>
      </c>
      <c r="G21" s="9" t="n">
        <f aca="false">F21*E21/100</f>
        <v>1.5</v>
      </c>
      <c r="H21" s="7" t="s">
        <v>67</v>
      </c>
      <c r="I21" s="7" t="s">
        <v>68</v>
      </c>
    </row>
    <row r="22" customFormat="false" ht="15" hidden="false" customHeight="false" outlineLevel="0" collapsed="false">
      <c r="A22" s="5" t="n">
        <v>16</v>
      </c>
      <c r="B22" s="5" t="s">
        <v>46</v>
      </c>
      <c r="C22" s="6" t="s">
        <v>69</v>
      </c>
      <c r="D22" s="7" t="s">
        <v>70</v>
      </c>
      <c r="E22" s="8" t="n">
        <v>100</v>
      </c>
      <c r="F22" s="10" t="n">
        <v>0.2</v>
      </c>
      <c r="G22" s="9" t="n">
        <f aca="false">F22*E22/100</f>
        <v>0.2</v>
      </c>
      <c r="H22" s="7" t="s">
        <v>71</v>
      </c>
      <c r="I22" s="7"/>
    </row>
    <row r="23" customFormat="false" ht="23.85" hidden="false" customHeight="false" outlineLevel="0" collapsed="false">
      <c r="A23" s="5" t="n">
        <v>17</v>
      </c>
      <c r="B23" s="5" t="s">
        <v>46</v>
      </c>
      <c r="C23" s="6" t="s">
        <v>72</v>
      </c>
      <c r="D23" s="7" t="s">
        <v>73</v>
      </c>
      <c r="E23" s="8" t="n">
        <v>100</v>
      </c>
      <c r="F23" s="10" t="n">
        <v>0.1</v>
      </c>
      <c r="G23" s="9" t="n">
        <f aca="false">F23*E23/100</f>
        <v>0.1</v>
      </c>
      <c r="H23" s="7" t="s">
        <v>74</v>
      </c>
      <c r="I23" s="7"/>
    </row>
    <row r="24" customFormat="false" ht="35.05" hidden="false" customHeight="false" outlineLevel="0" collapsed="false">
      <c r="A24" s="5" t="n">
        <v>18</v>
      </c>
      <c r="B24" s="5" t="s">
        <v>46</v>
      </c>
      <c r="C24" s="6" t="s">
        <v>75</v>
      </c>
      <c r="D24" s="7" t="s">
        <v>76</v>
      </c>
      <c r="E24" s="8" t="n">
        <v>100</v>
      </c>
      <c r="F24" s="10" t="n">
        <v>0.2</v>
      </c>
      <c r="G24" s="9" t="n">
        <f aca="false">F24*E24/100</f>
        <v>0.2</v>
      </c>
      <c r="H24" s="7" t="s">
        <v>77</v>
      </c>
      <c r="I24" s="7" t="s">
        <v>78</v>
      </c>
    </row>
    <row r="25" customFormat="false" ht="15" hidden="false" customHeight="false" outlineLevel="0" collapsed="false">
      <c r="A25" s="4" t="s">
        <v>79</v>
      </c>
      <c r="B25" s="4"/>
      <c r="C25" s="4"/>
      <c r="D25" s="4"/>
      <c r="E25" s="4"/>
      <c r="F25" s="4"/>
      <c r="G25" s="4"/>
      <c r="H25" s="4"/>
      <c r="I25" s="4"/>
    </row>
    <row r="26" customFormat="false" ht="35.05" hidden="false" customHeight="false" outlineLevel="0" collapsed="false">
      <c r="A26" s="5" t="n">
        <v>19</v>
      </c>
      <c r="B26" s="5" t="s">
        <v>80</v>
      </c>
      <c r="C26" s="6" t="s">
        <v>81</v>
      </c>
      <c r="D26" s="7" t="s">
        <v>82</v>
      </c>
      <c r="E26" s="8" t="n">
        <v>100</v>
      </c>
      <c r="F26" s="10" t="n">
        <v>2.5</v>
      </c>
      <c r="G26" s="9" t="n">
        <f aca="false">F26*E26/100</f>
        <v>2.5</v>
      </c>
      <c r="H26" s="7" t="s">
        <v>83</v>
      </c>
      <c r="I26" s="7" t="s">
        <v>84</v>
      </c>
    </row>
    <row r="27" customFormat="false" ht="15" hidden="false" customHeight="false" outlineLevel="0" collapsed="false">
      <c r="A27" s="4" t="s">
        <v>85</v>
      </c>
      <c r="B27" s="4"/>
      <c r="C27" s="4"/>
      <c r="D27" s="4"/>
      <c r="E27" s="4"/>
      <c r="F27" s="4"/>
      <c r="G27" s="4"/>
      <c r="H27" s="4"/>
      <c r="I27" s="4"/>
    </row>
    <row r="28" customFormat="false" ht="23.85" hidden="false" customHeight="false" outlineLevel="0" collapsed="false">
      <c r="A28" s="5" t="n">
        <v>20</v>
      </c>
      <c r="B28" s="5" t="s">
        <v>86</v>
      </c>
      <c r="C28" s="6" t="s">
        <v>87</v>
      </c>
      <c r="D28" s="7" t="s">
        <v>88</v>
      </c>
      <c r="E28" s="8" t="n">
        <v>100</v>
      </c>
      <c r="F28" s="10" t="n">
        <v>1</v>
      </c>
      <c r="G28" s="9" t="n">
        <f aca="false">F28*E28/100</f>
        <v>1</v>
      </c>
      <c r="H28" s="7" t="s">
        <v>89</v>
      </c>
      <c r="I28" s="7" t="s">
        <v>90</v>
      </c>
    </row>
    <row r="29" customFormat="false" ht="23.85" hidden="false" customHeight="false" outlineLevel="0" collapsed="false">
      <c r="A29" s="5" t="n">
        <v>21</v>
      </c>
      <c r="B29" s="5" t="s">
        <v>86</v>
      </c>
      <c r="C29" s="6" t="s">
        <v>91</v>
      </c>
      <c r="D29" s="7" t="s">
        <v>92</v>
      </c>
      <c r="E29" s="8" t="n">
        <v>100</v>
      </c>
      <c r="F29" s="10" t="n">
        <v>0.3</v>
      </c>
      <c r="G29" s="9" t="n">
        <f aca="false">F29*E29/100</f>
        <v>0.3</v>
      </c>
      <c r="H29" s="7" t="s">
        <v>93</v>
      </c>
      <c r="I29" s="7"/>
    </row>
    <row r="30" customFormat="false" ht="23.85" hidden="false" customHeight="false" outlineLevel="0" collapsed="false">
      <c r="A30" s="5" t="n">
        <v>22</v>
      </c>
      <c r="B30" s="5" t="s">
        <v>86</v>
      </c>
      <c r="C30" s="6" t="s">
        <v>94</v>
      </c>
      <c r="D30" s="7" t="s">
        <v>95</v>
      </c>
      <c r="E30" s="8" t="n">
        <v>75</v>
      </c>
      <c r="F30" s="10" t="n">
        <v>0.7</v>
      </c>
      <c r="G30" s="9" t="n">
        <f aca="false">F30*E30/100</f>
        <v>0.525</v>
      </c>
      <c r="H30" s="7" t="s">
        <v>96</v>
      </c>
      <c r="I30" s="7" t="s">
        <v>97</v>
      </c>
    </row>
    <row r="31" customFormat="false" ht="15" hidden="false" customHeight="false" outlineLevel="0" collapsed="false">
      <c r="A31" s="5" t="n">
        <v>23</v>
      </c>
      <c r="B31" s="5" t="s">
        <v>86</v>
      </c>
      <c r="C31" s="6" t="s">
        <v>98</v>
      </c>
      <c r="D31" s="7" t="s">
        <v>99</v>
      </c>
      <c r="E31" s="8" t="n">
        <v>50</v>
      </c>
      <c r="F31" s="10" t="n">
        <v>1</v>
      </c>
      <c r="G31" s="9" t="n">
        <f aca="false">F31*E31/100</f>
        <v>0.5</v>
      </c>
      <c r="H31" s="7" t="s">
        <v>100</v>
      </c>
      <c r="I31" s="7" t="s">
        <v>97</v>
      </c>
    </row>
    <row r="32" customFormat="false" ht="15" hidden="false" customHeight="false" outlineLevel="0" collapsed="false">
      <c r="A32" s="5" t="n">
        <v>24</v>
      </c>
      <c r="B32" s="5" t="s">
        <v>86</v>
      </c>
      <c r="C32" s="6" t="s">
        <v>101</v>
      </c>
      <c r="D32" s="7" t="s">
        <v>102</v>
      </c>
      <c r="E32" s="8" t="n">
        <v>100</v>
      </c>
      <c r="F32" s="10" t="n">
        <v>0.5</v>
      </c>
      <c r="G32" s="9" t="n">
        <f aca="false">F32*E32/100</f>
        <v>0.5</v>
      </c>
      <c r="H32" s="7" t="s">
        <v>103</v>
      </c>
      <c r="I32" s="7"/>
    </row>
    <row r="33" customFormat="false" ht="23.85" hidden="false" customHeight="false" outlineLevel="0" collapsed="false">
      <c r="A33" s="5" t="n">
        <v>25</v>
      </c>
      <c r="B33" s="5" t="s">
        <v>86</v>
      </c>
      <c r="C33" s="6" t="s">
        <v>104</v>
      </c>
      <c r="D33" s="7" t="s">
        <v>105</v>
      </c>
      <c r="E33" s="8" t="n">
        <v>25</v>
      </c>
      <c r="F33" s="10" t="n">
        <v>0.5</v>
      </c>
      <c r="G33" s="9" t="n">
        <f aca="false">F33*E33/100</f>
        <v>0.125</v>
      </c>
      <c r="H33" s="7" t="s">
        <v>106</v>
      </c>
      <c r="I33" s="7" t="s">
        <v>107</v>
      </c>
    </row>
    <row r="34" customFormat="false" ht="23.85" hidden="false" customHeight="false" outlineLevel="0" collapsed="false">
      <c r="A34" s="5" t="n">
        <v>26</v>
      </c>
      <c r="B34" s="5" t="s">
        <v>86</v>
      </c>
      <c r="C34" s="6" t="s">
        <v>108</v>
      </c>
      <c r="D34" s="7" t="s">
        <v>109</v>
      </c>
      <c r="E34" s="8" t="n">
        <v>25</v>
      </c>
      <c r="F34" s="10" t="n">
        <v>0.3</v>
      </c>
      <c r="G34" s="9" t="n">
        <f aca="false">F34*E34/100</f>
        <v>0.075</v>
      </c>
      <c r="H34" s="7" t="s">
        <v>110</v>
      </c>
      <c r="I34" s="7"/>
    </row>
    <row r="35" customFormat="false" ht="23.85" hidden="false" customHeight="false" outlineLevel="0" collapsed="false">
      <c r="A35" s="5" t="n">
        <v>27</v>
      </c>
      <c r="B35" s="5" t="s">
        <v>86</v>
      </c>
      <c r="C35" s="6" t="s">
        <v>111</v>
      </c>
      <c r="D35" s="7" t="s">
        <v>112</v>
      </c>
      <c r="E35" s="8" t="n">
        <v>20</v>
      </c>
      <c r="F35" s="10" t="n">
        <v>0.2</v>
      </c>
      <c r="G35" s="9" t="n">
        <f aca="false">F35*E35/100</f>
        <v>0.04</v>
      </c>
      <c r="H35" s="7" t="s">
        <v>113</v>
      </c>
      <c r="I35" s="7" t="s">
        <v>114</v>
      </c>
    </row>
    <row r="36" customFormat="false" ht="15" hidden="false" customHeight="false" outlineLevel="0" collapsed="false">
      <c r="A36" s="5" t="n">
        <v>28</v>
      </c>
      <c r="B36" s="5" t="s">
        <v>86</v>
      </c>
      <c r="C36" s="6" t="s">
        <v>115</v>
      </c>
      <c r="D36" s="7" t="s">
        <v>116</v>
      </c>
      <c r="E36" s="8" t="n">
        <v>100</v>
      </c>
      <c r="F36" s="10" t="n">
        <v>0.2</v>
      </c>
      <c r="G36" s="9" t="n">
        <f aca="false">F36*E36/100</f>
        <v>0.2</v>
      </c>
      <c r="H36" s="7" t="s">
        <v>117</v>
      </c>
      <c r="I36" s="7" t="s">
        <v>118</v>
      </c>
    </row>
    <row r="37" customFormat="false" ht="23.85" hidden="false" customHeight="false" outlineLevel="0" collapsed="false">
      <c r="A37" s="5" t="n">
        <v>29</v>
      </c>
      <c r="B37" s="5" t="s">
        <v>86</v>
      </c>
      <c r="C37" s="6" t="s">
        <v>119</v>
      </c>
      <c r="D37" s="7" t="s">
        <v>120</v>
      </c>
      <c r="E37" s="8" t="n">
        <v>100</v>
      </c>
      <c r="F37" s="10" t="n">
        <v>0.2</v>
      </c>
      <c r="G37" s="9" t="n">
        <f aca="false">F37*E37/100</f>
        <v>0.2</v>
      </c>
      <c r="H37" s="7" t="s">
        <v>121</v>
      </c>
      <c r="I37" s="7" t="s">
        <v>122</v>
      </c>
    </row>
    <row r="38" customFormat="false" ht="15" hidden="false" customHeight="false" outlineLevel="0" collapsed="false">
      <c r="A38" s="5" t="n">
        <v>30</v>
      </c>
      <c r="B38" s="5" t="s">
        <v>86</v>
      </c>
      <c r="C38" s="6" t="s">
        <v>123</v>
      </c>
      <c r="D38" s="7" t="s">
        <v>124</v>
      </c>
      <c r="E38" s="8" t="n">
        <v>1</v>
      </c>
      <c r="F38" s="10" t="n">
        <v>1</v>
      </c>
      <c r="G38" s="9" t="n">
        <f aca="false">F38*E38/100</f>
        <v>0.01</v>
      </c>
      <c r="H38" s="7" t="s">
        <v>125</v>
      </c>
      <c r="I38" s="7" t="s">
        <v>126</v>
      </c>
    </row>
    <row r="39" customFormat="false" ht="23.85" hidden="false" customHeight="false" outlineLevel="0" collapsed="false">
      <c r="A39" s="5" t="n">
        <v>31</v>
      </c>
      <c r="B39" s="5" t="s">
        <v>86</v>
      </c>
      <c r="C39" s="6" t="s">
        <v>127</v>
      </c>
      <c r="D39" s="7" t="s">
        <v>128</v>
      </c>
      <c r="E39" s="8" t="n">
        <v>60</v>
      </c>
      <c r="F39" s="10" t="n">
        <v>0.05</v>
      </c>
      <c r="G39" s="9" t="n">
        <f aca="false">F39*E39/100</f>
        <v>0.03</v>
      </c>
      <c r="H39" s="7" t="s">
        <v>129</v>
      </c>
      <c r="I39" s="7" t="s">
        <v>130</v>
      </c>
    </row>
    <row r="40" customFormat="false" ht="15" hidden="false" customHeight="false" outlineLevel="0" collapsed="false">
      <c r="A40" s="4" t="s">
        <v>131</v>
      </c>
      <c r="B40" s="4"/>
      <c r="C40" s="4"/>
      <c r="D40" s="4"/>
      <c r="E40" s="4"/>
      <c r="F40" s="4"/>
      <c r="G40" s="4"/>
      <c r="H40" s="4"/>
      <c r="I40" s="4"/>
    </row>
    <row r="41" customFormat="false" ht="57.45" hidden="false" customHeight="false" outlineLevel="0" collapsed="false">
      <c r="A41" s="5" t="n">
        <v>32</v>
      </c>
      <c r="B41" s="5" t="s">
        <v>132</v>
      </c>
      <c r="C41" s="6" t="s">
        <v>133</v>
      </c>
      <c r="D41" s="7" t="s">
        <v>134</v>
      </c>
      <c r="E41" s="8" t="n">
        <v>100</v>
      </c>
      <c r="F41" s="10" t="n">
        <v>1</v>
      </c>
      <c r="G41" s="9" t="n">
        <f aca="false">F41*E41/100</f>
        <v>1</v>
      </c>
      <c r="H41" s="7" t="s">
        <v>135</v>
      </c>
      <c r="I41" s="7" t="s">
        <v>136</v>
      </c>
    </row>
    <row r="42" customFormat="false" ht="57.45" hidden="false" customHeight="false" outlineLevel="0" collapsed="false">
      <c r="A42" s="5" t="n">
        <v>33</v>
      </c>
      <c r="B42" s="5" t="s">
        <v>132</v>
      </c>
      <c r="C42" s="6" t="s">
        <v>137</v>
      </c>
      <c r="D42" s="7" t="s">
        <v>138</v>
      </c>
      <c r="E42" s="8" t="n">
        <v>100</v>
      </c>
      <c r="F42" s="10" t="n">
        <v>0.3</v>
      </c>
      <c r="G42" s="9" t="n">
        <f aca="false">F42*E42/100</f>
        <v>0.3</v>
      </c>
      <c r="H42" s="7" t="s">
        <v>139</v>
      </c>
      <c r="I42" s="7" t="s">
        <v>140</v>
      </c>
    </row>
    <row r="43" customFormat="false" ht="23.85" hidden="false" customHeight="false" outlineLevel="0" collapsed="false">
      <c r="A43" s="5" t="n">
        <v>34</v>
      </c>
      <c r="B43" s="5" t="s">
        <v>132</v>
      </c>
      <c r="C43" s="6" t="s">
        <v>141</v>
      </c>
      <c r="D43" s="7" t="s">
        <v>142</v>
      </c>
      <c r="E43" s="8" t="n">
        <v>100</v>
      </c>
      <c r="F43" s="10" t="n">
        <v>0.5</v>
      </c>
      <c r="G43" s="9" t="n">
        <f aca="false">F43*E43/100</f>
        <v>0.5</v>
      </c>
      <c r="H43" s="7" t="s">
        <v>143</v>
      </c>
      <c r="I43" s="7" t="s">
        <v>144</v>
      </c>
    </row>
    <row r="44" customFormat="false" ht="35.05" hidden="false" customHeight="false" outlineLevel="0" collapsed="false">
      <c r="A44" s="5" t="n">
        <v>35</v>
      </c>
      <c r="B44" s="5" t="s">
        <v>132</v>
      </c>
      <c r="C44" s="6" t="s">
        <v>145</v>
      </c>
      <c r="D44" s="7" t="s">
        <v>146</v>
      </c>
      <c r="E44" s="8" t="n">
        <v>100</v>
      </c>
      <c r="F44" s="10" t="n">
        <v>0.4</v>
      </c>
      <c r="G44" s="9" t="n">
        <f aca="false">F44*E44/100</f>
        <v>0.4</v>
      </c>
      <c r="H44" s="7" t="s">
        <v>147</v>
      </c>
      <c r="I44" s="7" t="s">
        <v>148</v>
      </c>
    </row>
    <row r="45" customFormat="false" ht="15" hidden="false" customHeight="false" outlineLevel="0" collapsed="false">
      <c r="A45" s="4" t="s">
        <v>149</v>
      </c>
      <c r="B45" s="4"/>
      <c r="C45" s="4"/>
      <c r="D45" s="4"/>
      <c r="E45" s="4"/>
      <c r="F45" s="4"/>
      <c r="G45" s="4"/>
      <c r="H45" s="4"/>
      <c r="I45" s="4"/>
    </row>
    <row r="46" customFormat="false" ht="23.85" hidden="false" customHeight="false" outlineLevel="0" collapsed="false">
      <c r="A46" s="5" t="n">
        <v>36</v>
      </c>
      <c r="B46" s="5" t="s">
        <v>150</v>
      </c>
      <c r="C46" s="6" t="s">
        <v>151</v>
      </c>
      <c r="D46" s="7" t="s">
        <v>152</v>
      </c>
      <c r="E46" s="8" t="n">
        <v>80</v>
      </c>
      <c r="F46" s="10" t="n">
        <v>0.2</v>
      </c>
      <c r="G46" s="9" t="n">
        <f aca="false">F46*E46/100</f>
        <v>0.16</v>
      </c>
      <c r="H46" s="7" t="s">
        <v>153</v>
      </c>
      <c r="I46" s="7" t="s">
        <v>154</v>
      </c>
    </row>
    <row r="47" customFormat="false" ht="15" hidden="false" customHeight="false" outlineLevel="0" collapsed="false">
      <c r="A47" s="11"/>
      <c r="B47" s="11"/>
      <c r="C47" s="12" t="s">
        <v>155</v>
      </c>
      <c r="D47" s="11"/>
      <c r="E47" s="11"/>
      <c r="F47" s="13" t="n">
        <f aca="false">SUM(F5:F46)</f>
        <v>100</v>
      </c>
      <c r="G47" s="11"/>
      <c r="H47" s="11"/>
      <c r="I47" s="11"/>
    </row>
    <row r="49" customFormat="false" ht="15" hidden="false" customHeight="false" outlineLevel="0" collapsed="false">
      <c r="C49" s="14" t="s">
        <v>156</v>
      </c>
    </row>
    <row r="50" customFormat="false" ht="15" hidden="false" customHeight="false" outlineLevel="0" collapsed="false">
      <c r="C50" s="15" t="s">
        <v>11</v>
      </c>
      <c r="F50" s="16" t="n">
        <f aca="false">SUM(F6:F14)</f>
        <v>83.6</v>
      </c>
    </row>
    <row r="51" customFormat="false" ht="15" hidden="false" customHeight="false" outlineLevel="0" collapsed="false">
      <c r="C51" s="15" t="s">
        <v>45</v>
      </c>
      <c r="F51" s="16" t="n">
        <f aca="false">SUM(F16:F24)</f>
        <v>5.55</v>
      </c>
    </row>
    <row r="52" customFormat="false" ht="15" hidden="false" customHeight="false" outlineLevel="0" collapsed="false">
      <c r="C52" s="15" t="s">
        <v>79</v>
      </c>
      <c r="F52" s="16" t="n">
        <f aca="false">SUM(F26:F26)</f>
        <v>2.5</v>
      </c>
    </row>
    <row r="53" customFormat="false" ht="15" hidden="false" customHeight="false" outlineLevel="0" collapsed="false">
      <c r="C53" s="15" t="s">
        <v>85</v>
      </c>
      <c r="F53" s="16" t="n">
        <f aca="false">SUM(F28:F39)</f>
        <v>5.95</v>
      </c>
    </row>
    <row r="54" customFormat="false" ht="15" hidden="false" customHeight="false" outlineLevel="0" collapsed="false">
      <c r="C54" s="15" t="s">
        <v>131</v>
      </c>
      <c r="F54" s="16" t="n">
        <f aca="false">SUM(F41:F44)</f>
        <v>2.2</v>
      </c>
    </row>
    <row r="55" customFormat="false" ht="15" hidden="false" customHeight="false" outlineLevel="0" collapsed="false">
      <c r="C55" s="15" t="s">
        <v>149</v>
      </c>
      <c r="F55" s="16" t="n">
        <f aca="false">SUM(F46:F46)</f>
        <v>0.2</v>
      </c>
    </row>
    <row r="56" customFormat="false" ht="15" hidden="false" customHeight="false" outlineLevel="0" collapsed="false">
      <c r="C56" s="15" t="s">
        <v>157</v>
      </c>
      <c r="F56" s="16" t="n">
        <f aca="false">SUM(F18:F24)+SUM(F26:F26)</f>
        <v>6.1</v>
      </c>
    </row>
    <row r="57" customFormat="false" ht="15" hidden="false" customHeight="false" outlineLevel="0" collapsed="false">
      <c r="C57" s="15" t="s">
        <v>158</v>
      </c>
      <c r="F57" s="16" t="n">
        <f aca="false">SUM(F16:F17)</f>
        <v>1.95</v>
      </c>
    </row>
    <row r="59" customFormat="false" ht="30" hidden="false" customHeight="true" outlineLevel="0" collapsed="false">
      <c r="C59" s="2" t="s">
        <v>159</v>
      </c>
      <c r="D59" s="2"/>
      <c r="E59" s="2"/>
      <c r="F59" s="2"/>
      <c r="G59" s="2"/>
      <c r="H59" s="2"/>
      <c r="I59" s="2"/>
    </row>
  </sheetData>
  <mergeCells count="8">
    <mergeCell ref="A2:I2"/>
    <mergeCell ref="A5:I5"/>
    <mergeCell ref="A15:I15"/>
    <mergeCell ref="A25:I25"/>
    <mergeCell ref="A27:I27"/>
    <mergeCell ref="A40:I40"/>
    <mergeCell ref="A45:I45"/>
    <mergeCell ref="C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160</v>
      </c>
    </row>
    <row r="3" customFormat="false" ht="15" hidden="false" customHeight="false" outlineLevel="0" collapsed="false">
      <c r="A3" s="3" t="s">
        <v>161</v>
      </c>
      <c r="B3" s="3" t="s">
        <v>162</v>
      </c>
      <c r="C3" s="3" t="s">
        <v>163</v>
      </c>
    </row>
    <row r="4" customFormat="false" ht="23.85" hidden="false" customHeight="false" outlineLevel="0" collapsed="false">
      <c r="A4" s="5" t="s">
        <v>164</v>
      </c>
      <c r="B4" s="6" t="s">
        <v>165</v>
      </c>
      <c r="C4" s="7" t="s">
        <v>166</v>
      </c>
    </row>
    <row r="5" customFormat="false" ht="15" hidden="false" customHeight="false" outlineLevel="0" collapsed="false">
      <c r="A5" s="5" t="s">
        <v>167</v>
      </c>
      <c r="B5" s="6" t="s">
        <v>168</v>
      </c>
      <c r="C5" s="7" t="s">
        <v>169</v>
      </c>
    </row>
    <row r="6" customFormat="false" ht="23.85" hidden="false" customHeight="false" outlineLevel="0" collapsed="false">
      <c r="A6" s="5" t="s">
        <v>170</v>
      </c>
      <c r="B6" s="6" t="s">
        <v>171</v>
      </c>
      <c r="C6" s="7" t="s">
        <v>172</v>
      </c>
    </row>
    <row r="7" customFormat="false" ht="15" hidden="false" customHeight="false" outlineLevel="0" collapsed="false">
      <c r="A7" s="5" t="s">
        <v>173</v>
      </c>
      <c r="B7" s="6" t="s">
        <v>174</v>
      </c>
      <c r="C7" s="7" t="s">
        <v>175</v>
      </c>
    </row>
    <row r="8" customFormat="false" ht="15" hidden="false" customHeight="false" outlineLevel="0" collapsed="false">
      <c r="A8" s="5" t="s">
        <v>176</v>
      </c>
      <c r="B8" s="6" t="s">
        <v>177</v>
      </c>
      <c r="C8" s="7" t="s">
        <v>178</v>
      </c>
    </row>
    <row r="9" customFormat="false" ht="23.85" hidden="false" customHeight="false" outlineLevel="0" collapsed="false">
      <c r="A9" s="5" t="s">
        <v>179</v>
      </c>
      <c r="B9" s="6" t="s">
        <v>180</v>
      </c>
      <c r="C9" s="7" t="s">
        <v>181</v>
      </c>
    </row>
    <row r="10" customFormat="false" ht="23.85" hidden="false" customHeight="false" outlineLevel="0" collapsed="false">
      <c r="A10" s="5" t="s">
        <v>182</v>
      </c>
      <c r="B10" s="6" t="s">
        <v>183</v>
      </c>
      <c r="C10" s="7" t="s">
        <v>184</v>
      </c>
    </row>
    <row r="12" customFormat="false" ht="15" hidden="false" customHeight="false" outlineLevel="0" collapsed="false">
      <c r="A12" s="14" t="s">
        <v>185</v>
      </c>
    </row>
    <row r="13" customFormat="false" ht="15" hidden="false" customHeight="false" outlineLevel="0" collapsed="false">
      <c r="A13" s="3"/>
      <c r="B13" s="3" t="s">
        <v>186</v>
      </c>
      <c r="C13" s="3" t="s">
        <v>187</v>
      </c>
    </row>
    <row r="14" customFormat="false" ht="15" hidden="false" customHeight="false" outlineLevel="0" collapsed="false">
      <c r="A14" s="17"/>
      <c r="B14" s="6" t="s">
        <v>188</v>
      </c>
      <c r="C14" s="7" t="s">
        <v>189</v>
      </c>
    </row>
    <row r="15" customFormat="false" ht="15" hidden="false" customHeight="false" outlineLevel="0" collapsed="false">
      <c r="A15" s="17"/>
      <c r="B15" s="6" t="s">
        <v>190</v>
      </c>
      <c r="C15" s="7" t="s">
        <v>191</v>
      </c>
    </row>
    <row r="16" customFormat="false" ht="15" hidden="false" customHeight="false" outlineLevel="0" collapsed="false">
      <c r="A16" s="17"/>
      <c r="B16" s="6" t="s">
        <v>192</v>
      </c>
      <c r="C16" s="7" t="s">
        <v>193</v>
      </c>
    </row>
    <row r="17" customFormat="false" ht="15" hidden="false" customHeight="false" outlineLevel="0" collapsed="false">
      <c r="A17" s="17"/>
      <c r="B17" s="6" t="s">
        <v>194</v>
      </c>
      <c r="C17" s="7" t="s">
        <v>195</v>
      </c>
    </row>
    <row r="18" customFormat="false" ht="15" hidden="false" customHeight="false" outlineLevel="0" collapsed="false">
      <c r="A18" s="17"/>
      <c r="B18" s="6" t="s">
        <v>196</v>
      </c>
      <c r="C18" s="7" t="s">
        <v>197</v>
      </c>
    </row>
    <row r="19" customFormat="false" ht="15" hidden="false" customHeight="false" outlineLevel="0" collapsed="false">
      <c r="A19" s="17"/>
      <c r="B19" s="6" t="s">
        <v>198</v>
      </c>
      <c r="C19" s="7" t="s">
        <v>199</v>
      </c>
    </row>
    <row r="20" customFormat="false" ht="15" hidden="false" customHeight="false" outlineLevel="0" collapsed="false">
      <c r="A20" s="17"/>
      <c r="B20" s="6" t="s">
        <v>200</v>
      </c>
      <c r="C20" s="7" t="s">
        <v>201</v>
      </c>
    </row>
    <row r="22" customFormat="false" ht="15" hidden="false" customHeight="false" outlineLevel="0" collapsed="false">
      <c r="A22" s="14" t="s">
        <v>202</v>
      </c>
    </row>
    <row r="23" customFormat="false" ht="15" hidden="false" customHeight="false" outlineLevel="0" collapsed="false">
      <c r="A23" s="3"/>
      <c r="B23" s="3" t="s">
        <v>203</v>
      </c>
      <c r="C23" s="3" t="s">
        <v>204</v>
      </c>
    </row>
    <row r="24" customFormat="false" ht="15" hidden="false" customHeight="false" outlineLevel="0" collapsed="false">
      <c r="A24" s="17"/>
      <c r="B24" s="6" t="s">
        <v>205</v>
      </c>
      <c r="C24" s="7" t="s">
        <v>206</v>
      </c>
    </row>
    <row r="25" customFormat="false" ht="15" hidden="false" customHeight="false" outlineLevel="0" collapsed="false">
      <c r="A25" s="17"/>
      <c r="B25" s="6" t="s">
        <v>207</v>
      </c>
      <c r="C25" s="7" t="s">
        <v>208</v>
      </c>
    </row>
    <row r="26" customFormat="false" ht="15" hidden="false" customHeight="false" outlineLevel="0" collapsed="false">
      <c r="A26" s="17"/>
      <c r="B26" s="6" t="s">
        <v>209</v>
      </c>
      <c r="C26" s="7" t="s">
        <v>210</v>
      </c>
    </row>
    <row r="27" customFormat="false" ht="15" hidden="false" customHeight="false" outlineLevel="0" collapsed="false">
      <c r="A27" s="17"/>
      <c r="B27" s="6" t="s">
        <v>211</v>
      </c>
      <c r="C27" s="7" t="s">
        <v>212</v>
      </c>
    </row>
    <row r="28" customFormat="false" ht="23.85" hidden="false" customHeight="false" outlineLevel="0" collapsed="false">
      <c r="A28" s="17"/>
      <c r="B28" s="6" t="s">
        <v>213</v>
      </c>
      <c r="C28" s="7" t="s">
        <v>214</v>
      </c>
    </row>
    <row r="29" customFormat="false" ht="15" hidden="false" customHeight="false" outlineLevel="0" collapsed="false">
      <c r="A29" s="17"/>
      <c r="B29" s="6" t="s">
        <v>215</v>
      </c>
      <c r="C29" s="7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62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217</v>
      </c>
    </row>
    <row r="3" customFormat="false" ht="15" hidden="false" customHeight="false" outlineLevel="0" collapsed="false">
      <c r="A3" s="14" t="s">
        <v>218</v>
      </c>
    </row>
    <row r="4" customFormat="false" ht="15" hidden="false" customHeight="false" outlineLevel="0" collapsed="false">
      <c r="A4" s="3" t="s">
        <v>219</v>
      </c>
      <c r="B4" s="3" t="s">
        <v>220</v>
      </c>
      <c r="C4" s="3" t="s">
        <v>221</v>
      </c>
    </row>
    <row r="5" customFormat="false" ht="46.25" hidden="false" customHeight="false" outlineLevel="0" collapsed="false">
      <c r="A5" s="6" t="s">
        <v>222</v>
      </c>
      <c r="B5" s="7" t="s">
        <v>223</v>
      </c>
      <c r="C5" s="7" t="s">
        <v>224</v>
      </c>
    </row>
    <row r="6" customFormat="false" ht="135.8" hidden="false" customHeight="false" outlineLevel="0" collapsed="false">
      <c r="A6" s="6" t="s">
        <v>225</v>
      </c>
      <c r="B6" s="7" t="s">
        <v>226</v>
      </c>
      <c r="C6" s="7" t="s">
        <v>227</v>
      </c>
    </row>
    <row r="7" customFormat="false" ht="91" hidden="false" customHeight="false" outlineLevel="0" collapsed="false">
      <c r="A7" s="6" t="s">
        <v>228</v>
      </c>
      <c r="B7" s="7" t="s">
        <v>229</v>
      </c>
      <c r="C7" s="7" t="s">
        <v>230</v>
      </c>
    </row>
    <row r="8" customFormat="false" ht="15" hidden="false" customHeight="false" outlineLevel="0" collapsed="false">
      <c r="A8" s="6" t="s">
        <v>231</v>
      </c>
      <c r="B8" s="7" t="s">
        <v>223</v>
      </c>
      <c r="C8" s="7" t="s">
        <v>232</v>
      </c>
    </row>
    <row r="9" customFormat="false" ht="23.85" hidden="false" customHeight="false" outlineLevel="0" collapsed="false">
      <c r="A9" s="6" t="s">
        <v>233</v>
      </c>
      <c r="B9" s="7" t="s">
        <v>234</v>
      </c>
      <c r="C9" s="7" t="s">
        <v>235</v>
      </c>
    </row>
    <row r="11" customFormat="false" ht="15" hidden="false" customHeight="false" outlineLevel="0" collapsed="false">
      <c r="A11" s="14" t="s">
        <v>236</v>
      </c>
    </row>
    <row r="12" customFormat="false" ht="15" hidden="false" customHeight="false" outlineLevel="0" collapsed="false">
      <c r="A12" s="3" t="s">
        <v>237</v>
      </c>
      <c r="B12" s="3" t="s">
        <v>238</v>
      </c>
      <c r="C12" s="3" t="s">
        <v>239</v>
      </c>
      <c r="D12" s="3" t="s">
        <v>240</v>
      </c>
    </row>
    <row r="13" customFormat="false" ht="15" hidden="false" customHeight="false" outlineLevel="0" collapsed="false">
      <c r="A13" s="6" t="s">
        <v>47</v>
      </c>
      <c r="B13" s="7" t="s">
        <v>241</v>
      </c>
      <c r="C13" s="7" t="s">
        <v>242</v>
      </c>
      <c r="D13" s="7" t="s">
        <v>243</v>
      </c>
    </row>
    <row r="14" customFormat="false" ht="15" hidden="false" customHeight="false" outlineLevel="0" collapsed="false">
      <c r="A14" s="6" t="s">
        <v>58</v>
      </c>
      <c r="B14" s="7" t="s">
        <v>244</v>
      </c>
      <c r="C14" s="7" t="s">
        <v>245</v>
      </c>
      <c r="D14" s="7" t="s">
        <v>246</v>
      </c>
    </row>
    <row r="15" customFormat="false" ht="15" hidden="false" customHeight="false" outlineLevel="0" collapsed="false">
      <c r="A15" s="6" t="s">
        <v>247</v>
      </c>
      <c r="B15" s="7" t="s">
        <v>248</v>
      </c>
      <c r="C15" s="7" t="s">
        <v>249</v>
      </c>
      <c r="D15" s="7" t="s">
        <v>250</v>
      </c>
    </row>
    <row r="16" customFormat="false" ht="15" hidden="false" customHeight="false" outlineLevel="0" collapsed="false">
      <c r="A16" s="6" t="s">
        <v>251</v>
      </c>
      <c r="B16" s="7" t="s">
        <v>252</v>
      </c>
      <c r="C16" s="7" t="s">
        <v>253</v>
      </c>
      <c r="D16" s="7" t="s">
        <v>254</v>
      </c>
    </row>
    <row r="17" customFormat="false" ht="15" hidden="false" customHeight="false" outlineLevel="0" collapsed="false">
      <c r="A17" s="6" t="s">
        <v>255</v>
      </c>
      <c r="B17" s="7" t="s">
        <v>256</v>
      </c>
      <c r="C17" s="7" t="s">
        <v>257</v>
      </c>
      <c r="D17" s="7" t="s">
        <v>258</v>
      </c>
    </row>
    <row r="18" customFormat="false" ht="15" hidden="false" customHeight="false" outlineLevel="0" collapsed="false">
      <c r="A18" s="6" t="s">
        <v>127</v>
      </c>
      <c r="B18" s="7" t="s">
        <v>259</v>
      </c>
      <c r="C18" s="7" t="s">
        <v>260</v>
      </c>
      <c r="D18" s="7" t="s">
        <v>261</v>
      </c>
    </row>
    <row r="19" customFormat="false" ht="15" hidden="false" customHeight="false" outlineLevel="0" collapsed="false">
      <c r="A19" s="6" t="s">
        <v>262</v>
      </c>
      <c r="B19" s="7" t="s">
        <v>263</v>
      </c>
      <c r="C19" s="7" t="s">
        <v>264</v>
      </c>
      <c r="D19" s="7" t="s">
        <v>265</v>
      </c>
    </row>
    <row r="20" customFormat="false" ht="15" hidden="false" customHeight="false" outlineLevel="0" collapsed="false">
      <c r="A20" s="6" t="s">
        <v>266</v>
      </c>
      <c r="B20" s="7" t="s">
        <v>267</v>
      </c>
      <c r="C20" s="7" t="s">
        <v>268</v>
      </c>
      <c r="D20" s="7" t="s">
        <v>269</v>
      </c>
    </row>
    <row r="21" customFormat="false" ht="23.85" hidden="false" customHeight="false" outlineLevel="0" collapsed="false">
      <c r="A21" s="6" t="s">
        <v>270</v>
      </c>
      <c r="B21" s="7" t="s">
        <v>271</v>
      </c>
      <c r="C21" s="7" t="s">
        <v>272</v>
      </c>
      <c r="D21" s="7" t="s">
        <v>273</v>
      </c>
    </row>
    <row r="22" customFormat="false" ht="35.05" hidden="false" customHeight="false" outlineLevel="0" collapsed="false">
      <c r="A22" s="6" t="s">
        <v>274</v>
      </c>
      <c r="B22" s="7" t="s">
        <v>275</v>
      </c>
      <c r="C22" s="7" t="s">
        <v>276</v>
      </c>
      <c r="D22" s="7" t="s">
        <v>277</v>
      </c>
    </row>
    <row r="24" customFormat="false" ht="15" hidden="false" customHeight="false" outlineLevel="0" collapsed="false">
      <c r="A24" s="14" t="s">
        <v>278</v>
      </c>
    </row>
    <row r="25" customFormat="false" ht="109.5" hidden="false" customHeight="true" outlineLevel="0" collapsed="false">
      <c r="A25" s="18" t="s">
        <v>279</v>
      </c>
      <c r="B25" s="18"/>
      <c r="C25" s="18"/>
      <c r="D25" s="18"/>
    </row>
    <row r="27" customFormat="false" ht="30" hidden="false" customHeight="true" outlineLevel="0" collapsed="false">
      <c r="A27" s="2" t="s">
        <v>280</v>
      </c>
      <c r="B27" s="2"/>
      <c r="C27" s="2"/>
      <c r="D27" s="2"/>
    </row>
  </sheetData>
  <mergeCells count="2">
    <mergeCell ref="A25:D25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2026-10-08T20:32:55Z</dcterms:created>
  <dc:creator>openpyxl</dc:creator>
  <dc:description/>
  <dc:language>en-US</dc:language>
  <cp:lastModifiedBy/>
  <dcterms:modified xsi:type="dcterms:W3CDTF">2026-10-08T20:32:55Z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