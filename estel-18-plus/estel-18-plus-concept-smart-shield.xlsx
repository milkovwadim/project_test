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Рецептура" sheetId="1" state="visible" r:id="rId3"/>
    <sheet name="Технология" sheetId="2" state="visible" r:id="rId4"/>
    <sheet name="ЕС и изменения" sheetId="3" state="visible" r:id="rId5"/>
  </sheets>
  <definedNames>
    <definedName function="false" hidden="false" localSheetId="0" name="_xlnm.Print_Titles" vbProcedure="false">Рецептура!$4:$4</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<sst xmlns="http://schemas.openxmlformats.org/spreadsheetml/2006/main" count="351" uniqueCount="317">
  <si>
    <t xml:space="preserve">Авторская рецептура: несмываемое молочко-спрей для волос «Smart Shield 18+». Версия 2.0 концепт от 08.10.2026</t>
  </si>
  <si>
    <t xml:space="preserve">Концепция «умная защита»: селективное восстановление (амодиметикон + протеин-силан), субстантивная защита цвета и от УФ (катионный УФ-абсорбер), биопротекция от тепла (эктоин, трегалоза, бетаин). Физическая база та же, что в версии 1.2: белое молочко на Behentrimonium Chloride и цетиловом спирте, вязкость около 100 мПа·с, pH 4,8, без D5, без парабенов и формальдегид-доноров. Дозировки требуют лабораторной проверки. Синим выделены вводимые значения, чёрным: формулы.</t>
  </si>
  <si>
    <t xml:space="preserve">№</t>
  </si>
  <si>
    <t xml:space="preserve">Фаза</t>
  </si>
  <si>
    <t xml:space="preserve">INCI</t>
  </si>
  <si>
    <t xml:space="preserve">Сырьё: пример / аналог</t>
  </si>
  <si>
    <t xml:space="preserve">Активное в сырье, %</t>
  </si>
  <si>
    <t xml:space="preserve">Ввод, % масс.</t>
  </si>
  <si>
    <t xml:space="preserve">Активное в продукте, %</t>
  </si>
  <si>
    <t xml:space="preserve">Функция</t>
  </si>
  <si>
    <t xml:space="preserve">Примечание</t>
  </si>
  <si>
    <t xml:space="preserve">Фаза A. Водная фаза, нагрев до 75–80 °C</t>
  </si>
  <si>
    <t xml:space="preserve">A</t>
  </si>
  <si>
    <t xml:space="preserve">Aqua</t>
  </si>
  <si>
    <t xml:space="preserve">Вода деионизированная (проводимость &lt;10 мкСм/см)</t>
  </si>
  <si>
    <t xml:space="preserve">Растворитель, основа</t>
  </si>
  <si>
    <t xml:space="preserve">До 100 %; долить с учётом потерь на испарение</t>
  </si>
  <si>
    <t xml:space="preserve">Tetrasodium Glutamate Diacetate</t>
  </si>
  <si>
    <t xml:space="preserve">Dissolvine GL-47-S (Nouryon), раствор 47 %; китайские аналоги GLDA</t>
  </si>
  <si>
    <t xml:space="preserve">Хелатор, биоразлагаемая замена EDTA</t>
  </si>
  <si>
    <t xml:space="preserve">Растворить первым; защищает сорбат и масла от окисления</t>
  </si>
  <si>
    <t xml:space="preserve">Glycerin</t>
  </si>
  <si>
    <t xml:space="preserve">Глицерин растительный 99,5 %</t>
  </si>
  <si>
    <t xml:space="preserve">Увлажнитель; носитель для диспергирования гуара</t>
  </si>
  <si>
    <t xml:space="preserve">Betaine</t>
  </si>
  <si>
    <t xml:space="preserve">Genencare OSMS BA (IFF) или китайский косметический бетаин</t>
  </si>
  <si>
    <t xml:space="preserve">Осмопротектор: удерживает воду в волокне при сушке феном, антистатик</t>
  </si>
  <si>
    <t xml:space="preserve">Trehalose</t>
  </si>
  <si>
    <t xml:space="preserve">TREHA (Hayashibara, Япония) или китайская трегалоза</t>
  </si>
  <si>
    <t xml:space="preserve">Защита белков волоса от обезвоживания и тепла, увлажнение</t>
  </si>
  <si>
    <t xml:space="preserve">Растворять в горячей фазе A</t>
  </si>
  <si>
    <t xml:space="preserve">Guar Hydroxypropyltrimonium Chloride</t>
  </si>
  <si>
    <t xml:space="preserve">Jaguar C-13S (Solvay) или китайские аналоги</t>
  </si>
  <si>
    <t xml:space="preserve">Катионный полимер: расчёсывание, анти-фриз, стабилизация эмульсии без утяжеления</t>
  </si>
  <si>
    <t xml:space="preserve">Развести в глицерине, ввести в воду до нагрева, гидратировать 15 мин при 75–80 °C до корректировки pH. Регулятор вязкости: 0,05–0,15 %</t>
  </si>
  <si>
    <t xml:space="preserve">Niacinamide</t>
  </si>
  <si>
    <t xml:space="preserve">Ниацинамид косметический</t>
  </si>
  <si>
    <t xml:space="preserve">Актив для кожи головы, укрепление</t>
  </si>
  <si>
    <t xml:space="preserve">Стабилен при pH 4,5–5</t>
  </si>
  <si>
    <t xml:space="preserve">Caffeine</t>
  </si>
  <si>
    <t xml:space="preserve">Кофеин безводный, косметический</t>
  </si>
  <si>
    <t xml:space="preserve">Актив для кожи головы</t>
  </si>
  <si>
    <t xml:space="preserve">Sodium Hyaluronate</t>
  </si>
  <si>
    <t xml:space="preserve">Гиалуронат натрия, ММ 1,0–1,8 МДа (Contipro / Bloomage), порошок</t>
  </si>
  <si>
    <t xml:space="preserve">Увлажнение, плёнка</t>
  </si>
  <si>
    <t xml:space="preserve">Распылить в фазу A при перемешивании до нагрева; анионный полимер, не более 0,05 %</t>
  </si>
  <si>
    <t xml:space="preserve">Фаза B. Масляная фаза, нагрев до 75–80 °C</t>
  </si>
  <si>
    <t xml:space="preserve">B</t>
  </si>
  <si>
    <t xml:space="preserve">Behentrimonium Chloride</t>
  </si>
  <si>
    <t xml:space="preserve">Гранулы ~80 %: Genamin KDMP (Clariant), Incroquat Behenyl TMC-85 (Croda, 85 %); не европейские: Quartamin AB (Kao, Япония), китайские Behentrimonium Chloride 80 %</t>
  </si>
  <si>
    <t xml:space="preserve">Катионный эмульгатор: кондиционер, антистатик, термозащита; с цетиловым спиртом даёт структуру эмульсии</t>
  </si>
  <si>
    <t xml:space="preserve">1,0 % активного. Растворитель грейда (изопропанол или этанол) указать в INCI. ЕС Annex III/287: не более 3 % в несмываемых средствах для волос, с учётом цетримония хлорида из амодиметиконовой эмульсии</t>
  </si>
  <si>
    <t xml:space="preserve">Cetyl Alcohol</t>
  </si>
  <si>
    <t xml:space="preserve">Lanette 16 (BASF) / Crodacol C90 (Croda); азиатский цетиловый спирт 98 % (напр., KLK Oleo)</t>
  </si>
  <si>
    <t xml:space="preserve">Структурообразователь, регулятор вязкости</t>
  </si>
  <si>
    <t xml:space="preserve">Диапазон 0,5–0,9 %: больше спирта, выше вязкость</t>
  </si>
  <si>
    <t xml:space="preserve">Isoamyl Laurate</t>
  </si>
  <si>
    <t xml:space="preserve">Dermofeel sensolv (Evonik); альтернатива: Coco-Caprylate/Caprate (Cetiol C5, BASF; азиатские аналоги)</t>
  </si>
  <si>
    <t xml:space="preserve">Биоразлагаемый сухой эмолент с силиконоподобным скольжением, растворитель масляной фазы</t>
  </si>
  <si>
    <t xml:space="preserve">Замена C12-15 Alkyl Benzoate: легче, быстрее впитывается, лучше история для ЕС</t>
  </si>
  <si>
    <t xml:space="preserve">Phenyl Trimethicone</t>
  </si>
  <si>
    <t xml:space="preserve">DOWSIL 556 Cosmetic Grade Fluid (Dow) / BELSIL PDM 20 (Wacker)</t>
  </si>
  <si>
    <t xml:space="preserve">Блеск, гладкость, термозащита</t>
  </si>
  <si>
    <t xml:space="preserve">Dimethicone (and) Dimethiconol</t>
  </si>
  <si>
    <t xml:space="preserve">XIAMETER PMX-1503 (Dow)</t>
  </si>
  <si>
    <t xml:space="preserve">Плёнка диметиконола: гладкость, защита кончиков, устойчивость к смыванию</t>
  </si>
  <si>
    <t xml:space="preserve">Без D5; содержание диметиконола уточнить по TDS</t>
  </si>
  <si>
    <t xml:space="preserve">Crambe Abyssinica Seed Oil</t>
  </si>
  <si>
    <t xml:space="preserve">Abyssinian oil рафинированное; альтернатива: Camellia Japonica Seed Oil (Япония, Китай)</t>
  </si>
  <si>
    <t xml:space="preserve">Лёгкое масло с силиконоподобным ощущением, блеск без утяжеления</t>
  </si>
  <si>
    <t xml:space="preserve">Замена хлопкового масла</t>
  </si>
  <si>
    <t xml:space="preserve">Argania Spinosa Kernel Oil</t>
  </si>
  <si>
    <t xml:space="preserve">Масло арганы рафинированное</t>
  </si>
  <si>
    <t xml:space="preserve">Питание, блеск; узнаваемое заявление</t>
  </si>
  <si>
    <t xml:space="preserve">Tocopherol</t>
  </si>
  <si>
    <t xml:space="preserve">Смесь токоферолов 70 % (Covi-ox T-70, BASF; китайские аналоги)</t>
  </si>
  <si>
    <t xml:space="preserve">Антиоксидант: защита цвета и масел от окисления</t>
  </si>
  <si>
    <t xml:space="preserve">0,07 % активного</t>
  </si>
  <si>
    <t xml:space="preserve">Фаза C. Летучий носитель, ввод при температуре не выше 40 °C с гомогенизацией</t>
  </si>
  <si>
    <t xml:space="preserve">C</t>
  </si>
  <si>
    <t xml:space="preserve">Isododecane</t>
  </si>
  <si>
    <t xml:space="preserve">Isododecane (Ineos Oligomers) / Permethyl 99A (Presperse)</t>
  </si>
  <si>
    <t xml:space="preserve">Летучий носитель: лёгкость, быстрое высыхание, без утяжеления</t>
  </si>
  <si>
    <t xml:space="preserve">Температура вспышки около 45 °C: вводить при температуре не выше 40 °C в закрытой ёмкости, гомогенизация 1–2 мин</t>
  </si>
  <si>
    <t xml:space="preserve">Фаза D. Активы, ввод при температуре не выше 40 °C, перемешивание</t>
  </si>
  <si>
    <t xml:space="preserve">D</t>
  </si>
  <si>
    <t xml:space="preserve">Amodimethicone (and) Trideceth-12 (and) Cetrimonium Chloride</t>
  </si>
  <si>
    <t xml:space="preserve">DOWSIL CE-8411 Smooth Plus Emulsion (Dow) или китайские аналоги с тем же INCI</t>
  </si>
  <si>
    <t xml:space="preserve">Аминосиликон: селективно осаждается на повреждённых (отрицательно заряженных) участках, не накапливается на здоровых</t>
  </si>
  <si>
    <t xml:space="preserve">Микроэмульсия, вводить в готовую эмульсию при температуре не выше 40 °C. Заменяет Silsoft Q и PEG/PPG-15/15 Dimethicone</t>
  </si>
  <si>
    <t xml:space="preserve">Hydrolyzed Vegetable Protein PG-Propyl Silanetriol</t>
  </si>
  <si>
    <t xml:space="preserve">Keravis (Croda), раствор; китайские аналоги с INCI Hydrolyzed Wheat Protein PG-Propyl Silanetriol</t>
  </si>
  <si>
    <t xml:space="preserve">Протеин-силан: проникает в волокно, сшивается на воздухе, снижает ломкость; главный актив восстановления</t>
  </si>
  <si>
    <t xml:space="preserve">Доза по сырью; содержание сухих веществ по TDS. Заменяет гидролизат шёлка, соевый протеин и экстракты риса и пшеницы</t>
  </si>
  <si>
    <t xml:space="preserve">Hydroxypropyltrimonium Hydrolyzed Wheat Protein</t>
  </si>
  <si>
    <t xml:space="preserve">Кватернизованный гидролизат протеина пшеницы, раствор ~30 % (TRI-K, Croda, китайские аналоги)</t>
  </si>
  <si>
    <t xml:space="preserve">Субстантивный протеин: термозащита, объём у корней, блеск</t>
  </si>
  <si>
    <t xml:space="preserve">0,15 % активного</t>
  </si>
  <si>
    <t xml:space="preserve">Hydrolyzed Keratin</t>
  </si>
  <si>
    <t xml:space="preserve">Гидролизат кератина, раствор 20–30 % (Keratec IFP PE, Keraplast; аналоги TRI-K, Croda)</t>
  </si>
  <si>
    <t xml:space="preserve">Восстановление, укрепление</t>
  </si>
  <si>
    <t xml:space="preserve">Активное зависит от грейда</t>
  </si>
  <si>
    <t xml:space="preserve">Cinnamidopropyltrimonium Chloride</t>
  </si>
  <si>
    <t xml:space="preserve">Incroquat UV-283 (Croda), водный раствор; запасной вариант: Ethylhexyl Methoxycinnamate 0,3 % в фазу B</t>
  </si>
  <si>
    <t xml:space="preserve">Катионный УФ-абсорбер: садится на волос и защищает цвет между мытьями</t>
  </si>
  <si>
    <t xml:space="preserve">Доза по сырью. Не УФ-фильтр для кожи по Annex VI: заявлять только защиту волос и цвета, не SPF</t>
  </si>
  <si>
    <t xml:space="preserve">Ectoin</t>
  </si>
  <si>
    <t xml:space="preserve">Ectoin natural (Bitop, Германия); китайские биотех-аналоги (напр., Bloomage)</t>
  </si>
  <si>
    <t xml:space="preserve">Экстремолит: защита белков и липидов волоса от тепла и УФ, увлажнение</t>
  </si>
  <si>
    <t xml:space="preserve">Растворить в воде 1:3 перед вводом</t>
  </si>
  <si>
    <t xml:space="preserve">Panthenol</t>
  </si>
  <si>
    <t xml:space="preserve">D-Panthenol 75 W (BASF), раствор 75 %</t>
  </si>
  <si>
    <t xml:space="preserve">Провитамин B5: увлажнение, эластичность</t>
  </si>
  <si>
    <t xml:space="preserve">0,5 % активного</t>
  </si>
  <si>
    <t xml:space="preserve">Sodium PCA</t>
  </si>
  <si>
    <t xml:space="preserve">Ajidew N-50 (Ajinomoto), раствор 50 %</t>
  </si>
  <si>
    <t xml:space="preserve">Увлажнитель, компонент NMF</t>
  </si>
  <si>
    <t xml:space="preserve">0,3 % активного</t>
  </si>
  <si>
    <t xml:space="preserve">Фаза E. Консерванты и отдушка, ввод при температуре не выше 35 °C</t>
  </si>
  <si>
    <t xml:space="preserve">E</t>
  </si>
  <si>
    <t xml:space="preserve">Phenoxyethanol (and) Ethylhexylglycerin</t>
  </si>
  <si>
    <t xml:space="preserve">Euxyl PE 9010 (Schülke) или по отдельности: Phenoxyethanol 0,9 % + Ethylhexylglycerin 0,1 %</t>
  </si>
  <si>
    <t xml:space="preserve">Консервант широкого спектра с усилителем</t>
  </si>
  <si>
    <t xml:space="preserve">Феноксиэтанол 0,9 % (лимит ЕС 1,0 %, Annex V/29)</t>
  </si>
  <si>
    <t xml:space="preserve">Potassium Sorbate</t>
  </si>
  <si>
    <t xml:space="preserve">Сорбат калия, косметический; растворить в воде 1:5 перед вводом</t>
  </si>
  <si>
    <t xml:space="preserve">Противогрибковый компонент (плесени, дрожжи)</t>
  </si>
  <si>
    <t xml:space="preserve">Работает при pH 4,6–5,0; ЕС Annex V/4: не более 0,6 % как кислота (здесь ~0,22 %)</t>
  </si>
  <si>
    <t xml:space="preserve">PEG-40 Hydrogenated Castor Oil</t>
  </si>
  <si>
    <t xml:space="preserve">Kolliphor RH 40 (BASF) / Croduret 40 (Croda); PEG-free альтернатива: полиглицериловый солюбилизатор, напр. TEGO Solve 61 (Evonik)</t>
  </si>
  <si>
    <t xml:space="preserve">Солюбилизатор отдушки, стабильность распыления</t>
  </si>
  <si>
    <t xml:space="preserve">Смешать с отдушкой до прозрачности, затем ввести в массу</t>
  </si>
  <si>
    <t xml:space="preserve">Parfum</t>
  </si>
  <si>
    <t xml:space="preserve">Отдушка заказчика с IFRA-сертификатом и декларацией аллергенов</t>
  </si>
  <si>
    <t xml:space="preserve">Отдушка</t>
  </si>
  <si>
    <t xml:space="preserve">Аллергены в INCI по декларации поставщика; ЕС: порог 0,001 % для несмываемых, новый список с 31.07.2026</t>
  </si>
  <si>
    <t xml:space="preserve">Фаза F. Корректировка</t>
  </si>
  <si>
    <t xml:space="preserve">F</t>
  </si>
  <si>
    <t xml:space="preserve">Lactic Acid</t>
  </si>
  <si>
    <t xml:space="preserve">Молочная кислота 80 % (Purac HS 80, Corbion), вводить как 20 % водный раствор</t>
  </si>
  <si>
    <t xml:space="preserve">Регулятор pH</t>
  </si>
  <si>
    <t xml:space="preserve">q.s. до pH 4,8 ± 0,2; ориентир 0,15–0,40 % (GLDA и сорбат подщелачивают)</t>
  </si>
  <si>
    <t xml:space="preserve">ИТОГО</t>
  </si>
  <si>
    <t xml:space="preserve">Сумма по фазам, % масс.</t>
  </si>
  <si>
    <t xml:space="preserve">Масляная фаза без эмульгаторов (поз. 12–18)</t>
  </si>
  <si>
    <t xml:space="preserve">Катионные ПАВ и цетиловый спирт, по сырью (поз. 10–11)</t>
  </si>
  <si>
    <t xml:space="preserve">Источники по сырью: Dow (XIAMETER PMX-1503, DOWSIL 556, DOWSIL CE-8411), Croda (Keravis, Incroquat UV-283), Nouryon (Dissolvine GL-47-S), Evonik (Dermofeel sensolv), Bitop (Ectoin), Hayashibara (Treha), Solvay (Jaguar C-13S); составы по TDS поставщиков. Параметры эталона: измерения технолога-заказчика.</t>
  </si>
  <si>
    <t xml:space="preserve">Порядок изготовления (лабораторный замес, роторно-статорный гомогенизатор)</t>
  </si>
  <si>
    <t xml:space="preserve">Шаг</t>
  </si>
  <si>
    <t xml:space="preserve">Стадия</t>
  </si>
  <si>
    <t xml:space="preserve">Операция</t>
  </si>
  <si>
    <t xml:space="preserve">1</t>
  </si>
  <si>
    <t xml:space="preserve">Фаза A</t>
  </si>
  <si>
    <t xml:space="preserve">Развести гуар в глицерине, ввести в воду при перемешивании, затем GLDA, бетаин, трегалозу, ниацинамид, кофеин; распылить гиалуронат. Нагреть до 75–80 °C, выдержать 15 мин до полной гидратации гуара (масса прозрачная, без комков).</t>
  </si>
  <si>
    <t xml:space="preserve">2</t>
  </si>
  <si>
    <t xml:space="preserve">Фаза B</t>
  </si>
  <si>
    <t xml:space="preserve">Сплавить компоненты при 75–80 °C до однородного прозрачного расплава; токоферол ввести последним.</t>
  </si>
  <si>
    <t xml:space="preserve">3</t>
  </si>
  <si>
    <t xml:space="preserve">Эмульгирование</t>
  </si>
  <si>
    <t xml:space="preserve">Ввести фазу B в фазу A при 75–80 °C под роторно-статорным гомогенизатором, 3–5 мин (лабораторно 3000–5000 об/мин). Перейти на якорную или лопастную мешалку, начать охлаждение.</t>
  </si>
  <si>
    <t xml:space="preserve">4</t>
  </si>
  <si>
    <t xml:space="preserve">Фаза C</t>
  </si>
  <si>
    <t xml:space="preserve">При температуре не выше 40 °C ввести изододекан, гомогенизация 1–2 мин, закрытая ёмкость, без открытого огня.</t>
  </si>
  <si>
    <t xml:space="preserve">5</t>
  </si>
  <si>
    <t xml:space="preserve">Фаза D</t>
  </si>
  <si>
    <t xml:space="preserve">При температуре не выше 40 °C ввести по одному: амодиметиконовую эмульсию, Keravis, кватернизованный протеин, кератин, УФ-абсорбер, раствор эктоина, пантенол, Na-PCA; перемешивать до однородности после каждого.</t>
  </si>
  <si>
    <t xml:space="preserve">6</t>
  </si>
  <si>
    <t xml:space="preserve">Фаза E</t>
  </si>
  <si>
    <t xml:space="preserve">При температуре не выше 35 °C ввести консервант, затем раствор сорбата калия (1:5 в воде из рецептурного количества), затем отдушку, заранее смешанную с солюбилизатором.</t>
  </si>
  <si>
    <t xml:space="preserve">7</t>
  </si>
  <si>
    <t xml:space="preserve">Фаза F</t>
  </si>
  <si>
    <t xml:space="preserve">Довести pH до 4,8 ± 0,2 молочной кислотой (20 % раствор). Долить воду до 100 % с учётом потерь. Перемешивать 10 мин, удалить воздух (вакуум или отстаивание).</t>
  </si>
  <si>
    <t xml:space="preserve">Контроль готового продукта</t>
  </si>
  <si>
    <t xml:space="preserve">Показатель</t>
  </si>
  <si>
    <t xml:space="preserve">Норма</t>
  </si>
  <si>
    <t xml:space="preserve">Внешний вид</t>
  </si>
  <si>
    <t xml:space="preserve">Белое однородное молочко без расслоения и комков</t>
  </si>
  <si>
    <t xml:space="preserve">pH (20 °C)</t>
  </si>
  <si>
    <t xml:space="preserve">4,8 ± 0,2</t>
  </si>
  <si>
    <t xml:space="preserve">Вязкость</t>
  </si>
  <si>
    <t xml:space="preserve">80–150 мПа·с (по методике технолога); гуар и цетиловый спирт как рычаги</t>
  </si>
  <si>
    <t xml:space="preserve">Плотность</t>
  </si>
  <si>
    <t xml:space="preserve">1,00–1,01 г/см³</t>
  </si>
  <si>
    <t xml:space="preserve">Распыление</t>
  </si>
  <si>
    <t xml:space="preserve">Равномерный факел без крупных капель, помпа не забивается после 50 нажатий</t>
  </si>
  <si>
    <t xml:space="preserve">Стабильность</t>
  </si>
  <si>
    <t xml:space="preserve">Центрифуга 3000 об/мин 30 мин, 3 цикла заморозки, 45 °C 1–3 мес; по внутренним стандартам лаборатории</t>
  </si>
  <si>
    <t xml:space="preserve">Микробиология</t>
  </si>
  <si>
    <t xml:space="preserve">Challenge-тест по ISO 11930 обязателен для досье ЕС</t>
  </si>
  <si>
    <t xml:space="preserve">Эффективность (по желанию)</t>
  </si>
  <si>
    <t xml:space="preserve">Расчёсывание мокрых и сухих волос на приборе, термозащита при 230 °C, прочность на разрыв с Keravis, защита цвета при УФ-облучении: всё можно показать на прядях</t>
  </si>
  <si>
    <t xml:space="preserve">Тонкая настройка</t>
  </si>
  <si>
    <t xml:space="preserve">Проблема</t>
  </si>
  <si>
    <t xml:space="preserve">Действие</t>
  </si>
  <si>
    <t xml:space="preserve">Вязкость ниже целевой</t>
  </si>
  <si>
    <t xml:space="preserve">Цетиловый спирт +0,1–0,2 % или гуар до 0,15 %</t>
  </si>
  <si>
    <t xml:space="preserve">Вязкость выше целевой</t>
  </si>
  <si>
    <t xml:space="preserve">Гуар до 0,05 % или цетиловый спирт −0,1 %</t>
  </si>
  <si>
    <t xml:space="preserve">Отстой масла или сливки</t>
  </si>
  <si>
    <t xml:space="preserve">Усилить гомогенизацию на стадии 3; Behentrimonium Chloride до 1,5 % по сырью</t>
  </si>
  <si>
    <t xml:space="preserve">Помутнение, осадок</t>
  </si>
  <si>
    <t xml:space="preserve">Проверить анионные компоненты (гиалуронат, сорбат, Keravis) против катионных; снизить гиалуронат, перенести Keravis до 1,0 %</t>
  </si>
  <si>
    <t xml:space="preserve">Липкость или жёсткость от протеинов</t>
  </si>
  <si>
    <t xml:space="preserve">Keravis до 1,0 %, кватернизованный протеин до 0,3 %</t>
  </si>
  <si>
    <t xml:space="preserve">Не прошёл challenge-тест по плесени</t>
  </si>
  <si>
    <t xml:space="preserve">pH до 4,6; сорбат калия до 0,4 % (лимит 0,6 % как кислота)</t>
  </si>
  <si>
    <t xml:space="preserve">Нет Incroquat UV-283</t>
  </si>
  <si>
    <t xml:space="preserve">Ethylhexyl Methoxycinnamate 0,3 % в фазу B; заявление «защита цвета» тогда только за счёт токоферола и плёнки силиконов</t>
  </si>
  <si>
    <t xml:space="preserve">Слишком тяжёлые волосы</t>
  </si>
  <si>
    <t xml:space="preserve">PMX-1503 до 1,0 %, амодиметикон до 0,7 %; изододекан оставить</t>
  </si>
  <si>
    <t xml:space="preserve">Отличия и соответствие Регламенту (ЕС) 1223/2009</t>
  </si>
  <si>
    <t xml:space="preserve">Что изменено относительно версии 1.2 (реконструкции оригинала) и зачем</t>
  </si>
  <si>
    <t xml:space="preserve">Компонент</t>
  </si>
  <si>
    <t xml:space="preserve">Решение</t>
  </si>
  <si>
    <t xml:space="preserve">Основание</t>
  </si>
  <si>
    <t xml:space="preserve">Silicone Quaternium-18 (Silsoft Q) и PEG/PPG-15/15 Dimethicone</t>
  </si>
  <si>
    <t xml:space="preserve">Заменены на амодиметиконовую микроэмульсию</t>
  </si>
  <si>
    <t xml:space="preserve">Амодиметикон садится на повреждённые участки избирательно и даёт ощутимое восстановление кончиков без накопления на здоровых участках; его эмульсия уже содержит собственный эмульгатор, отдельный силиконовый полиэфир не нужен.</t>
  </si>
  <si>
    <t xml:space="preserve">Hydrolyzed Silk, Glycine Soja Protein, экстракты риса и зародышей пшеницы</t>
  </si>
  <si>
    <t xml:space="preserve">Заменены на Keravis и кватернизованный протеин пшеницы</t>
  </si>
  <si>
    <t xml:space="preserve">Четыре маркетинговых протеина заменены двумя с измеримым эффектом: Keravis снижает ломкость и проникает в волокно, кватернизованный протеин остаётся на волосе и даёт термозащиту.</t>
  </si>
  <si>
    <t xml:space="preserve">Ethylhexyl Methoxycinnamate</t>
  </si>
  <si>
    <t xml:space="preserve">Заменён на Cinnamidopropyltrimonium Chloride</t>
  </si>
  <si>
    <t xml:space="preserve">Обычный УФ-фильтр в несмывашке лежит на поверхности и уходит при первом мытье; катионный циннамат связывается с волосом, защита цвета реальная. Заявлять только для волос, не SPF для кожи.</t>
  </si>
  <si>
    <t xml:space="preserve">Acetamidoethoxyethanol, Sorbitol, Propylene Glycol, Carboxymethyl Chitin</t>
  </si>
  <si>
    <t xml:space="preserve">Заменены на бетаин, трегалозу и эктоин</t>
  </si>
  <si>
    <t xml:space="preserve">Осмопротекторы удерживают воду в волокне при сушке феном и защищают белки от тепла; это более современное и доказуемое увлажнение, чем набор гликолей и следовые полисахариды.</t>
  </si>
  <si>
    <t xml:space="preserve">C12-15 Alkyl Benzoate, хлопковое масло</t>
  </si>
  <si>
    <t xml:space="preserve">Заменены на изоамиллаурат и масло крамбе</t>
  </si>
  <si>
    <t xml:space="preserve">Сухое скольжение без утяжеления, биоразлагаемость, понятная история для европейского покупателя.</t>
  </si>
  <si>
    <t xml:space="preserve">Tetrasodium EDTA, Etidronic Acid</t>
  </si>
  <si>
    <t xml:space="preserve">Заменены на GLDA</t>
  </si>
  <si>
    <t xml:space="preserve">Один биоразлагаемый хелатор вместо двух, выполняет те же задачи.</t>
  </si>
  <si>
    <t xml:space="preserve">База эмульсии, силиконы, консервация</t>
  </si>
  <si>
    <t xml:space="preserve">Сохранены из версии 1.2</t>
  </si>
  <si>
    <t xml:space="preserve">Behentrimonium Chloride + цетиловый спирт, изододекан, PMX-1503, фенилтриметикон, феноксиэтанол + этилгексилглицерин + сорбат, pH 4,8. Физика продукта отработана, менять её нет смысла.</t>
  </si>
  <si>
    <t xml:space="preserve">Регуляторные лимиты ЕС и уровни в рецептуре</t>
  </si>
  <si>
    <t xml:space="preserve">Вещество</t>
  </si>
  <si>
    <t xml:space="preserve">Ссылка</t>
  </si>
  <si>
    <t xml:space="preserve">Лимит / требование</t>
  </si>
  <si>
    <t xml:space="preserve">В рецептуре</t>
  </si>
  <si>
    <t xml:space="preserve">Annex III/287</t>
  </si>
  <si>
    <t xml:space="preserve">Не более 3 % в несмываемых средствах для волос, в сумме с цетримонием хлоридом</t>
  </si>
  <si>
    <t xml:space="preserve">1,00 % плюс следы из CE-8411</t>
  </si>
  <si>
    <t xml:space="preserve">Cetrimonium Chloride (из эмульсии амодиметикона)</t>
  </si>
  <si>
    <t xml:space="preserve">Annex III/44</t>
  </si>
  <si>
    <t xml:space="preserve">Не более 1,0 % в несмываемых средствах для волос</t>
  </si>
  <si>
    <t xml:space="preserve">Около 0,03–0,05 %, по TDS</t>
  </si>
  <si>
    <t xml:space="preserve">Не в Annex VI</t>
  </si>
  <si>
    <t xml:space="preserve">Не является разрешённым УФ-фильтром для кожи; допустим как защита волос и продукта, без заявлений SPF</t>
  </si>
  <si>
    <t xml:space="preserve">0,50 % по сырью</t>
  </si>
  <si>
    <t xml:space="preserve">Phenoxyethanol</t>
  </si>
  <si>
    <t xml:space="preserve">Annex V/29</t>
  </si>
  <si>
    <t xml:space="preserve">Не более 1,0 %</t>
  </si>
  <si>
    <t xml:space="preserve">0,90 %</t>
  </si>
  <si>
    <t xml:space="preserve">Сорбиновая кислота и её соли</t>
  </si>
  <si>
    <t xml:space="preserve">Annex V/4</t>
  </si>
  <si>
    <t xml:space="preserve">Не более 0,6 % в пересчёте на кислоту</t>
  </si>
  <si>
    <t xml:space="preserve">Potassium Sorbate 0,30 % ≈ 0,22 % кислоты</t>
  </si>
  <si>
    <t xml:space="preserve">Ethylhexylglycerin, Ectoin, Trehalose, Betaine, GLDA</t>
  </si>
  <si>
    <t xml:space="preserve">Не нормируются</t>
  </si>
  <si>
    <t xml:space="preserve">Ограничений в приложениях Регл. 1223/2009 нет</t>
  </si>
  <si>
    <t xml:space="preserve">По рецептуре</t>
  </si>
  <si>
    <t xml:space="preserve">Формальдегид</t>
  </si>
  <si>
    <t xml:space="preserve">Регл. 2022/1181</t>
  </si>
  <si>
    <t xml:space="preserve">Надпись «выделяет формальдегид» при содержании более 0,001 %</t>
  </si>
  <si>
    <t xml:space="preserve">Не требуется: формальдегид-доноров нет</t>
  </si>
  <si>
    <t xml:space="preserve">Аллергены отдушки</t>
  </si>
  <si>
    <t xml:space="preserve">Регл. 2023/1545</t>
  </si>
  <si>
    <t xml:space="preserve">Указывать в INCI при более 0,001 % в несмываемых; новый список для новых продуктов с 31.07.2026</t>
  </si>
  <si>
    <t xml:space="preserve">По декларации поставщика отдушки</t>
  </si>
  <si>
    <t xml:space="preserve">D4 / D5 / D6</t>
  </si>
  <si>
    <t xml:space="preserve">Регл. 2024/1328</t>
  </si>
  <si>
    <t xml:space="preserve">Не более 0,1 % в несмываемых с 06.06.2027</t>
  </si>
  <si>
    <t xml:space="preserve">Отсутствуют; запросить остаточное содержание в PMX-1503 и амодиметиконе</t>
  </si>
  <si>
    <t xml:space="preserve">Карта 18 заявлений: какой компонент какой эффект обеспечивает</t>
  </si>
  <si>
    <t xml:space="preserve">Заявление</t>
  </si>
  <si>
    <t xml:space="preserve">Компоненты</t>
  </si>
  <si>
    <t xml:space="preserve">1. Увлажнение</t>
  </si>
  <si>
    <t xml:space="preserve">глицерин, бетаин, трегалоза, Na-PCA, гиалуронат, пантенол</t>
  </si>
  <si>
    <t xml:space="preserve">2. Питание</t>
  </si>
  <si>
    <t xml:space="preserve">масло арганы, масло крамбе</t>
  </si>
  <si>
    <t xml:space="preserve">3. Восстановление структуры</t>
  </si>
  <si>
    <t xml:space="preserve">Keravis, гидролизат кератина</t>
  </si>
  <si>
    <t xml:space="preserve">4. Снижение ломкости</t>
  </si>
  <si>
    <t xml:space="preserve">Keravis, кератин, пантенол</t>
  </si>
  <si>
    <t xml:space="preserve">5. Термозащита</t>
  </si>
  <si>
    <t xml:space="preserve">Behentrimonium Chloride, кватернизованный протеин, силиконы, трегалоза, эктоин</t>
  </si>
  <si>
    <t xml:space="preserve">6. УФ-защита волос</t>
  </si>
  <si>
    <t xml:space="preserve">Cinnamidopropyltrimonium Chloride, эктоин</t>
  </si>
  <si>
    <t xml:space="preserve">7. Защита цвета</t>
  </si>
  <si>
    <t xml:space="preserve">Cinnamidopropyltrimonium Chloride, токоферол</t>
  </si>
  <si>
    <t xml:space="preserve">8. Антиоксидантная защита</t>
  </si>
  <si>
    <t xml:space="preserve">токоферол, эктоин</t>
  </si>
  <si>
    <t xml:space="preserve">9. Облегчение расчёсывания</t>
  </si>
  <si>
    <t xml:space="preserve">Behentrimonium Chloride, гуар, амодиметикон</t>
  </si>
  <si>
    <t xml:space="preserve">10. Антистатика</t>
  </si>
  <si>
    <t xml:space="preserve">Behentrimonium Chloride, амодиметикон, гуар, бетаин</t>
  </si>
  <si>
    <t xml:space="preserve">11. Блеск</t>
  </si>
  <si>
    <t xml:space="preserve">фенилтриметикон, диметиконол, масло крамбе</t>
  </si>
  <si>
    <t xml:space="preserve">12. Гладкость и анти-фриз</t>
  </si>
  <si>
    <t xml:space="preserve">амодиметикон, диметиконол, гуар</t>
  </si>
  <si>
    <t xml:space="preserve">13. Профилактика сечения</t>
  </si>
  <si>
    <t xml:space="preserve">диметиконол, амодиметикон на кончиках</t>
  </si>
  <si>
    <t xml:space="preserve">14. Мягкость</t>
  </si>
  <si>
    <t xml:space="preserve">Behentrimonium Chloride, изоамиллаурат</t>
  </si>
  <si>
    <t xml:space="preserve">15. Лёгкость без утяжеления</t>
  </si>
  <si>
    <t xml:space="preserve">изододекан, изоамиллаурат, низкая доля масел</t>
  </si>
  <si>
    <t xml:space="preserve">16. Защита от стресса среды</t>
  </si>
  <si>
    <t xml:space="preserve">эктоин, трегалоза, бетаин</t>
  </si>
  <si>
    <t xml:space="preserve">17. Уход за кожей головы</t>
  </si>
  <si>
    <t xml:space="preserve">ниацинамид, кофеин</t>
  </si>
  <si>
    <t xml:space="preserve">18. Быстрое высыхание, облегчение укладки</t>
  </si>
  <si>
    <t xml:space="preserve">изододекан, PMX-1503, кватернизованный протеин</t>
  </si>
  <si>
    <t xml:space="preserve">Ориентировочный INCI готового продукта (по убыванию; компоненты ниже 1 % можно указывать в любом порядке)</t>
  </si>
  <si>
    <t xml:space="preserve">Aqua, Isododecane, Glycerin, Dimethicone, Behentrimonium Chloride, Betaine, Phenoxyethanol, Isoamyl Laurate, Cetyl Alcohol, Panthenol, Trehalose, Phenyl Trimethicone, PEG-40 Hydrogenated Castor Oil, Parfum, Hydrolyzed Vegetable Protein PG-Propyl Silanetriol, Amodimethicone, Crambe Abyssinica Seed Oil, Potassium Sorbate, Sodium PCA, Cinnamidopropyltrimonium Chloride, Dimethiconol, Argania Spinosa Kernel Oil, Lactic Acid, Niacinamide, Ectoin, Hydroxypropyltrimonium Hydrolyzed Wheat Protein, Hydrolyzed Keratin, Guar Hydroxypropyltrimonium Chloride, Ethylhexylglycerin, Caffeine, Tetrasodium Glutamate Diacetate, Tocopherol, Trideceth-12, Cetrimonium Chloride, Sodium Hyaluronate, [растворитель грейда Behentrimonium Chloride], [аллергены отдушки по декларации]</t>
  </si>
  <si>
    <t xml:space="preserve">Порядок INCI уточняется после получения TDS на смесевое сырьё (доли компонентов в DOWSIL CE-8411, Keravis, PMX-1503, Incroquat UV-283) и выбора грейда Behentrimonium Chloride (растворитель грейда добавить в INCI).</t>
  </si>
</sst>
</file>

<file path=xl/styles.xml><?xml version="1.0" encoding="utf-8"?>
<styleSheet xmlns="http://schemas.openxmlformats.org/spreadsheetml/2006/main">
  <numFmts count="3">
    <numFmt numFmtId="164" formatCode="General"/>
    <numFmt numFmtId="165" formatCode="0.0"/>
    <numFmt numFmtId="166" formatCode="0.00"/>
  </numFmts>
  <fonts count="10">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i val="true"/>
      <sz val="10"/>
      <color rgb="FF555555"/>
      <name val="Arial"/>
      <family val="0"/>
      <charset val="1"/>
    </font>
    <font>
      <b val="true"/>
      <sz val="10"/>
      <color rgb="FFFFFFFF"/>
      <name val="Arial"/>
      <family val="0"/>
      <charset val="1"/>
    </font>
    <font>
      <b val="true"/>
      <sz val="10"/>
      <name val="Arial"/>
      <family val="0"/>
      <charset val="1"/>
    </font>
    <font>
      <sz val="10"/>
      <name val="Arial"/>
      <family val="0"/>
      <charset val="1"/>
    </font>
    <font>
      <sz val="10"/>
      <color rgb="FF0000FF"/>
      <name val="Arial"/>
      <family val="0"/>
      <charset val="1"/>
    </font>
  </fonts>
  <fills count="5">
    <fill>
      <patternFill patternType="none"/>
    </fill>
    <fill>
      <patternFill patternType="gray125"/>
    </fill>
    <fill>
      <patternFill patternType="solid">
        <fgColor rgb="FF3F5B7A"/>
        <bgColor rgb="FF555555"/>
      </patternFill>
    </fill>
    <fill>
      <patternFill patternType="solid">
        <fgColor rgb="FFDCE6F1"/>
        <bgColor rgb="FFF2F2F2"/>
      </patternFill>
    </fill>
    <fill>
      <patternFill patternType="solid">
        <fgColor rgb="FFF2F2F2"/>
        <bgColor rgb="FFFFFFFF"/>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6" fillId="2" borderId="1" xfId="0" applyFont="true" applyBorder="true" applyAlignment="true" applyProtection="false">
      <alignment horizontal="center" vertical="top" textRotation="0" wrapText="true" indent="0" shrinkToFit="false"/>
      <protection locked="true" hidden="false"/>
    </xf>
    <xf numFmtId="164" fontId="7" fillId="3" borderId="1" xfId="0" applyFont="true" applyBorder="true" applyAlignment="false" applyProtection="false">
      <alignment horizontal="general" vertical="bottom" textRotation="0" wrapText="false" indent="0" shrinkToFit="false"/>
      <protection locked="true" hidden="false"/>
    </xf>
    <xf numFmtId="164" fontId="8" fillId="0" borderId="1" xfId="0" applyFont="true" applyBorder="true" applyAlignment="true" applyProtection="false">
      <alignment horizontal="center" vertical="top" textRotation="0" wrapText="tru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5" fontId="9" fillId="0" borderId="1" xfId="0" applyFont="true" applyBorder="true" applyAlignment="true" applyProtection="false">
      <alignment horizontal="right" vertical="top" textRotation="0" wrapText="false" indent="0" shrinkToFit="false"/>
      <protection locked="true" hidden="false"/>
    </xf>
    <xf numFmtId="166" fontId="8" fillId="0" borderId="1" xfId="0" applyFont="true" applyBorder="true" applyAlignment="true" applyProtection="false">
      <alignment horizontal="right" vertical="top" textRotation="0" wrapText="false" indent="0" shrinkToFit="false"/>
      <protection locked="true" hidden="false"/>
    </xf>
    <xf numFmtId="166" fontId="9" fillId="0" borderId="1" xfId="0" applyFont="true" applyBorder="true" applyAlignment="true" applyProtection="false">
      <alignment horizontal="right" vertical="top" textRotation="0" wrapText="false" indent="0" shrinkToFit="false"/>
      <protection locked="true" hidden="false"/>
    </xf>
    <xf numFmtId="164" fontId="0" fillId="4" borderId="1" xfId="0" applyFont="false" applyBorder="true" applyAlignment="false" applyProtection="false">
      <alignment horizontal="general" vertical="bottom" textRotation="0" wrapText="false" indent="0" shrinkToFit="false"/>
      <protection locked="true" hidden="false"/>
    </xf>
    <xf numFmtId="164" fontId="7" fillId="4" borderId="1" xfId="0" applyFont="true" applyBorder="true" applyAlignment="false" applyProtection="false">
      <alignment horizontal="general" vertical="bottom" textRotation="0" wrapText="false" indent="0" shrinkToFit="false"/>
      <protection locked="true" hidden="false"/>
    </xf>
    <xf numFmtId="166" fontId="7" fillId="4" borderId="1" xfId="0" applyFont="true" applyBorder="true" applyAlignment="true" applyProtection="false">
      <alignment horizontal="right" vertical="top"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6" fontId="8" fillId="0" borderId="0" xfId="0" applyFont="true" applyBorder="false" applyAlignment="true" applyProtection="false">
      <alignment horizontal="right" vertical="top" textRotation="0" wrapText="false" indent="0" shrinkToFit="false"/>
      <protection locked="true" hidden="false"/>
    </xf>
    <xf numFmtId="164" fontId="8" fillId="0" borderId="0"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2F2F2"/>
      <rgbColor rgb="FFDCE6F1"/>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3F5B7A"/>
      <rgbColor rgb="FF969696"/>
      <rgbColor rgb="FF003366"/>
      <rgbColor rgb="FF339966"/>
      <rgbColor rgb="FF003300"/>
      <rgbColor rgb="FF333300"/>
      <rgbColor rgb="FF993300"/>
      <rgbColor rgb="FF993366"/>
      <rgbColor rgb="FF333399"/>
      <rgbColor rgb="FF555555"/>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54"/>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6"/>
    <col collapsed="false" customWidth="true" hidden="false" outlineLevel="0" max="3" min="3" style="0" width="34"/>
    <col collapsed="false" customWidth="true" hidden="false" outlineLevel="0" max="4" min="4" style="0" width="42"/>
    <col collapsed="false" customWidth="true" hidden="false" outlineLevel="0" max="5" min="5" style="0" width="11"/>
    <col collapsed="false" customWidth="true" hidden="false" outlineLevel="0" max="6" min="6" style="0" width="10"/>
    <col collapsed="false" customWidth="true" hidden="false" outlineLevel="0" max="7" min="7" style="0" width="12"/>
    <col collapsed="false" customWidth="true" hidden="false" outlineLevel="0" max="8" min="8" style="0" width="32"/>
    <col collapsed="false" customWidth="true" hidden="false" outlineLevel="0" max="9" min="9" style="0" width="56"/>
  </cols>
  <sheetData>
    <row r="1" customFormat="false" ht="17.35" hidden="false" customHeight="false" outlineLevel="0" collapsed="false">
      <c r="A1" s="1" t="s">
        <v>0</v>
      </c>
    </row>
    <row r="2" customFormat="false" ht="55.5" hidden="false" customHeight="true" outlineLevel="0" collapsed="false">
      <c r="A2" s="2" t="s">
        <v>1</v>
      </c>
      <c r="B2" s="2"/>
      <c r="C2" s="2"/>
      <c r="D2" s="2"/>
      <c r="E2" s="2"/>
      <c r="F2" s="2"/>
      <c r="G2" s="2"/>
      <c r="H2" s="2"/>
      <c r="I2" s="2"/>
    </row>
    <row r="4" customFormat="false" ht="31.5" hidden="false" customHeight="true" outlineLevel="0" collapsed="false">
      <c r="A4" s="3" t="s">
        <v>2</v>
      </c>
      <c r="B4" s="3" t="s">
        <v>3</v>
      </c>
      <c r="C4" s="3" t="s">
        <v>4</v>
      </c>
      <c r="D4" s="3" t="s">
        <v>5</v>
      </c>
      <c r="E4" s="3" t="s">
        <v>6</v>
      </c>
      <c r="F4" s="3" t="s">
        <v>7</v>
      </c>
      <c r="G4" s="3" t="s">
        <v>8</v>
      </c>
      <c r="H4" s="3" t="s">
        <v>9</v>
      </c>
      <c r="I4" s="3" t="s">
        <v>10</v>
      </c>
    </row>
    <row r="5" customFormat="false" ht="15" hidden="false" customHeight="false" outlineLevel="0" collapsed="false">
      <c r="A5" s="4" t="s">
        <v>11</v>
      </c>
      <c r="B5" s="4"/>
      <c r="C5" s="4"/>
      <c r="D5" s="4"/>
      <c r="E5" s="4"/>
      <c r="F5" s="4"/>
      <c r="G5" s="4"/>
      <c r="H5" s="4"/>
      <c r="I5" s="4"/>
    </row>
    <row r="6" customFormat="false" ht="23.85" hidden="false" customHeight="false" outlineLevel="0" collapsed="false">
      <c r="A6" s="5" t="n">
        <v>1</v>
      </c>
      <c r="B6" s="5" t="s">
        <v>12</v>
      </c>
      <c r="C6" s="6" t="s">
        <v>13</v>
      </c>
      <c r="D6" s="7" t="s">
        <v>14</v>
      </c>
      <c r="E6" s="8" t="n">
        <v>100</v>
      </c>
      <c r="F6" s="9" t="n">
        <f aca="false">100-SUM(F7:F41)</f>
        <v>80.08</v>
      </c>
      <c r="G6" s="9" t="n">
        <f aca="false">F6*E6/100</f>
        <v>80.08</v>
      </c>
      <c r="H6" s="7" t="s">
        <v>15</v>
      </c>
      <c r="I6" s="7" t="s">
        <v>16</v>
      </c>
    </row>
    <row r="7" customFormat="false" ht="23.85" hidden="false" customHeight="false" outlineLevel="0" collapsed="false">
      <c r="A7" s="5" t="n">
        <v>2</v>
      </c>
      <c r="B7" s="5" t="s">
        <v>12</v>
      </c>
      <c r="C7" s="6" t="s">
        <v>17</v>
      </c>
      <c r="D7" s="7" t="s">
        <v>18</v>
      </c>
      <c r="E7" s="8" t="n">
        <v>47</v>
      </c>
      <c r="F7" s="10" t="n">
        <v>0.2</v>
      </c>
      <c r="G7" s="9" t="n">
        <f aca="false">F7*E7/100</f>
        <v>0.094</v>
      </c>
      <c r="H7" s="7" t="s">
        <v>19</v>
      </c>
      <c r="I7" s="7" t="s">
        <v>20</v>
      </c>
    </row>
    <row r="8" customFormat="false" ht="23.85" hidden="false" customHeight="false" outlineLevel="0" collapsed="false">
      <c r="A8" s="5" t="n">
        <v>3</v>
      </c>
      <c r="B8" s="5" t="s">
        <v>12</v>
      </c>
      <c r="C8" s="6" t="s">
        <v>21</v>
      </c>
      <c r="D8" s="7" t="s">
        <v>22</v>
      </c>
      <c r="E8" s="8" t="n">
        <v>99.5</v>
      </c>
      <c r="F8" s="10" t="n">
        <v>2</v>
      </c>
      <c r="G8" s="9" t="n">
        <f aca="false">F8*E8/100</f>
        <v>1.99</v>
      </c>
      <c r="H8" s="7" t="s">
        <v>23</v>
      </c>
      <c r="I8" s="7"/>
    </row>
    <row r="9" customFormat="false" ht="35.05" hidden="false" customHeight="false" outlineLevel="0" collapsed="false">
      <c r="A9" s="5" t="n">
        <v>4</v>
      </c>
      <c r="B9" s="5" t="s">
        <v>12</v>
      </c>
      <c r="C9" s="6" t="s">
        <v>24</v>
      </c>
      <c r="D9" s="7" t="s">
        <v>25</v>
      </c>
      <c r="E9" s="8" t="n">
        <v>100</v>
      </c>
      <c r="F9" s="10" t="n">
        <v>1</v>
      </c>
      <c r="G9" s="9" t="n">
        <f aca="false">F9*E9/100</f>
        <v>1</v>
      </c>
      <c r="H9" s="7" t="s">
        <v>26</v>
      </c>
      <c r="I9" s="7"/>
    </row>
    <row r="10" customFormat="false" ht="23.85" hidden="false" customHeight="false" outlineLevel="0" collapsed="false">
      <c r="A10" s="5" t="n">
        <v>5</v>
      </c>
      <c r="B10" s="5" t="s">
        <v>12</v>
      </c>
      <c r="C10" s="6" t="s">
        <v>27</v>
      </c>
      <c r="D10" s="7" t="s">
        <v>28</v>
      </c>
      <c r="E10" s="8" t="n">
        <v>100</v>
      </c>
      <c r="F10" s="10" t="n">
        <v>0.5</v>
      </c>
      <c r="G10" s="9" t="n">
        <f aca="false">F10*E10/100</f>
        <v>0.5</v>
      </c>
      <c r="H10" s="7" t="s">
        <v>29</v>
      </c>
      <c r="I10" s="7" t="s">
        <v>30</v>
      </c>
    </row>
    <row r="11" customFormat="false" ht="35.05" hidden="false" customHeight="false" outlineLevel="0" collapsed="false">
      <c r="A11" s="5" t="n">
        <v>6</v>
      </c>
      <c r="B11" s="5" t="s">
        <v>12</v>
      </c>
      <c r="C11" s="6" t="s">
        <v>31</v>
      </c>
      <c r="D11" s="7" t="s">
        <v>32</v>
      </c>
      <c r="E11" s="8" t="n">
        <v>100</v>
      </c>
      <c r="F11" s="10" t="n">
        <v>0.1</v>
      </c>
      <c r="G11" s="9" t="n">
        <f aca="false">F11*E11/100</f>
        <v>0.1</v>
      </c>
      <c r="H11" s="7" t="s">
        <v>33</v>
      </c>
      <c r="I11" s="7" t="s">
        <v>34</v>
      </c>
    </row>
    <row r="12" customFormat="false" ht="15" hidden="false" customHeight="false" outlineLevel="0" collapsed="false">
      <c r="A12" s="5" t="n">
        <v>7</v>
      </c>
      <c r="B12" s="5" t="s">
        <v>12</v>
      </c>
      <c r="C12" s="6" t="s">
        <v>35</v>
      </c>
      <c r="D12" s="7" t="s">
        <v>36</v>
      </c>
      <c r="E12" s="8" t="n">
        <v>100</v>
      </c>
      <c r="F12" s="10" t="n">
        <v>0.2</v>
      </c>
      <c r="G12" s="9" t="n">
        <f aca="false">F12*E12/100</f>
        <v>0.2</v>
      </c>
      <c r="H12" s="7" t="s">
        <v>37</v>
      </c>
      <c r="I12" s="7" t="s">
        <v>38</v>
      </c>
    </row>
    <row r="13" customFormat="false" ht="15" hidden="false" customHeight="false" outlineLevel="0" collapsed="false">
      <c r="A13" s="5" t="n">
        <v>8</v>
      </c>
      <c r="B13" s="5" t="s">
        <v>12</v>
      </c>
      <c r="C13" s="6" t="s">
        <v>39</v>
      </c>
      <c r="D13" s="7" t="s">
        <v>40</v>
      </c>
      <c r="E13" s="8" t="n">
        <v>100</v>
      </c>
      <c r="F13" s="10" t="n">
        <v>0.1</v>
      </c>
      <c r="G13" s="9" t="n">
        <f aca="false">F13*E13/100</f>
        <v>0.1</v>
      </c>
      <c r="H13" s="7" t="s">
        <v>41</v>
      </c>
      <c r="I13" s="7" t="s">
        <v>30</v>
      </c>
    </row>
    <row r="14" customFormat="false" ht="23.85" hidden="false" customHeight="false" outlineLevel="0" collapsed="false">
      <c r="A14" s="5" t="n">
        <v>9</v>
      </c>
      <c r="B14" s="5" t="s">
        <v>12</v>
      </c>
      <c r="C14" s="6" t="s">
        <v>42</v>
      </c>
      <c r="D14" s="7" t="s">
        <v>43</v>
      </c>
      <c r="E14" s="8" t="n">
        <v>100</v>
      </c>
      <c r="F14" s="10" t="n">
        <v>0.02</v>
      </c>
      <c r="G14" s="9" t="n">
        <f aca="false">F14*E14/100</f>
        <v>0.02</v>
      </c>
      <c r="H14" s="7" t="s">
        <v>44</v>
      </c>
      <c r="I14" s="7" t="s">
        <v>45</v>
      </c>
    </row>
    <row r="15" customFormat="false" ht="15" hidden="false" customHeight="false" outlineLevel="0" collapsed="false">
      <c r="A15" s="4" t="s">
        <v>46</v>
      </c>
      <c r="B15" s="4"/>
      <c r="C15" s="4"/>
      <c r="D15" s="4"/>
      <c r="E15" s="4"/>
      <c r="F15" s="4"/>
      <c r="G15" s="4"/>
      <c r="H15" s="4"/>
      <c r="I15" s="4"/>
    </row>
    <row r="16" customFormat="false" ht="46.25" hidden="false" customHeight="false" outlineLevel="0" collapsed="false">
      <c r="A16" s="5" t="n">
        <v>10</v>
      </c>
      <c r="B16" s="5" t="s">
        <v>47</v>
      </c>
      <c r="C16" s="6" t="s">
        <v>48</v>
      </c>
      <c r="D16" s="7" t="s">
        <v>49</v>
      </c>
      <c r="E16" s="8" t="n">
        <v>80</v>
      </c>
      <c r="F16" s="10" t="n">
        <v>1.25</v>
      </c>
      <c r="G16" s="9" t="n">
        <f aca="false">F16*E16/100</f>
        <v>1</v>
      </c>
      <c r="H16" s="7" t="s">
        <v>50</v>
      </c>
      <c r="I16" s="7" t="s">
        <v>51</v>
      </c>
    </row>
    <row r="17" customFormat="false" ht="35.05" hidden="false" customHeight="false" outlineLevel="0" collapsed="false">
      <c r="A17" s="5" t="n">
        <v>11</v>
      </c>
      <c r="B17" s="5" t="s">
        <v>47</v>
      </c>
      <c r="C17" s="6" t="s">
        <v>52</v>
      </c>
      <c r="D17" s="7" t="s">
        <v>53</v>
      </c>
      <c r="E17" s="8" t="n">
        <v>100</v>
      </c>
      <c r="F17" s="10" t="n">
        <v>0.7</v>
      </c>
      <c r="G17" s="9" t="n">
        <f aca="false">F17*E17/100</f>
        <v>0.7</v>
      </c>
      <c r="H17" s="7" t="s">
        <v>54</v>
      </c>
      <c r="I17" s="7" t="s">
        <v>55</v>
      </c>
    </row>
    <row r="18" customFormat="false" ht="35.05" hidden="false" customHeight="false" outlineLevel="0" collapsed="false">
      <c r="A18" s="5" t="n">
        <v>12</v>
      </c>
      <c r="B18" s="5" t="s">
        <v>47</v>
      </c>
      <c r="C18" s="6" t="s">
        <v>56</v>
      </c>
      <c r="D18" s="7" t="s">
        <v>57</v>
      </c>
      <c r="E18" s="8" t="n">
        <v>100</v>
      </c>
      <c r="F18" s="10" t="n">
        <v>0.8</v>
      </c>
      <c r="G18" s="9" t="n">
        <f aca="false">F18*E18/100</f>
        <v>0.8</v>
      </c>
      <c r="H18" s="7" t="s">
        <v>58</v>
      </c>
      <c r="I18" s="7" t="s">
        <v>59</v>
      </c>
    </row>
    <row r="19" customFormat="false" ht="23.85" hidden="false" customHeight="false" outlineLevel="0" collapsed="false">
      <c r="A19" s="5" t="n">
        <v>13</v>
      </c>
      <c r="B19" s="5" t="s">
        <v>47</v>
      </c>
      <c r="C19" s="6" t="s">
        <v>60</v>
      </c>
      <c r="D19" s="7" t="s">
        <v>61</v>
      </c>
      <c r="E19" s="8" t="n">
        <v>100</v>
      </c>
      <c r="F19" s="10" t="n">
        <v>0.5</v>
      </c>
      <c r="G19" s="9" t="n">
        <f aca="false">F19*E19/100</f>
        <v>0.5</v>
      </c>
      <c r="H19" s="7" t="s">
        <v>62</v>
      </c>
      <c r="I19" s="7"/>
    </row>
    <row r="20" customFormat="false" ht="35.05" hidden="false" customHeight="false" outlineLevel="0" collapsed="false">
      <c r="A20" s="5" t="n">
        <v>14</v>
      </c>
      <c r="B20" s="5" t="s">
        <v>47</v>
      </c>
      <c r="C20" s="6" t="s">
        <v>63</v>
      </c>
      <c r="D20" s="7" t="s">
        <v>64</v>
      </c>
      <c r="E20" s="8" t="n">
        <v>100</v>
      </c>
      <c r="F20" s="10" t="n">
        <v>1.5</v>
      </c>
      <c r="G20" s="9" t="n">
        <f aca="false">F20*E20/100</f>
        <v>1.5</v>
      </c>
      <c r="H20" s="7" t="s">
        <v>65</v>
      </c>
      <c r="I20" s="7" t="s">
        <v>66</v>
      </c>
    </row>
    <row r="21" customFormat="false" ht="23.85" hidden="false" customHeight="false" outlineLevel="0" collapsed="false">
      <c r="A21" s="5" t="n">
        <v>15</v>
      </c>
      <c r="B21" s="5" t="s">
        <v>47</v>
      </c>
      <c r="C21" s="6" t="s">
        <v>67</v>
      </c>
      <c r="D21" s="7" t="s">
        <v>68</v>
      </c>
      <c r="E21" s="8" t="n">
        <v>100</v>
      </c>
      <c r="F21" s="10" t="n">
        <v>0.3</v>
      </c>
      <c r="G21" s="9" t="n">
        <f aca="false">F21*E21/100</f>
        <v>0.3</v>
      </c>
      <c r="H21" s="7" t="s">
        <v>69</v>
      </c>
      <c r="I21" s="7" t="s">
        <v>70</v>
      </c>
    </row>
    <row r="22" customFormat="false" ht="23.85" hidden="false" customHeight="false" outlineLevel="0" collapsed="false">
      <c r="A22" s="5" t="n">
        <v>16</v>
      </c>
      <c r="B22" s="5" t="s">
        <v>47</v>
      </c>
      <c r="C22" s="6" t="s">
        <v>71</v>
      </c>
      <c r="D22" s="7" t="s">
        <v>72</v>
      </c>
      <c r="E22" s="8" t="n">
        <v>100</v>
      </c>
      <c r="F22" s="10" t="n">
        <v>0.2</v>
      </c>
      <c r="G22" s="9" t="n">
        <f aca="false">F22*E22/100</f>
        <v>0.2</v>
      </c>
      <c r="H22" s="7" t="s">
        <v>73</v>
      </c>
      <c r="I22" s="7"/>
    </row>
    <row r="23" customFormat="false" ht="23.85" hidden="false" customHeight="false" outlineLevel="0" collapsed="false">
      <c r="A23" s="5" t="n">
        <v>17</v>
      </c>
      <c r="B23" s="5" t="s">
        <v>47</v>
      </c>
      <c r="C23" s="6" t="s">
        <v>74</v>
      </c>
      <c r="D23" s="7" t="s">
        <v>75</v>
      </c>
      <c r="E23" s="8" t="n">
        <v>70</v>
      </c>
      <c r="F23" s="10" t="n">
        <v>0.1</v>
      </c>
      <c r="G23" s="9" t="n">
        <f aca="false">F23*E23/100</f>
        <v>0.07</v>
      </c>
      <c r="H23" s="7" t="s">
        <v>76</v>
      </c>
      <c r="I23" s="7" t="s">
        <v>77</v>
      </c>
    </row>
    <row r="24" customFormat="false" ht="15" hidden="false" customHeight="false" outlineLevel="0" collapsed="false">
      <c r="A24" s="4" t="s">
        <v>78</v>
      </c>
      <c r="B24" s="4"/>
      <c r="C24" s="4"/>
      <c r="D24" s="4"/>
      <c r="E24" s="4"/>
      <c r="F24" s="4"/>
      <c r="G24" s="4"/>
      <c r="H24" s="4"/>
      <c r="I24" s="4"/>
    </row>
    <row r="25" customFormat="false" ht="23.85" hidden="false" customHeight="false" outlineLevel="0" collapsed="false">
      <c r="A25" s="5" t="n">
        <v>18</v>
      </c>
      <c r="B25" s="5" t="s">
        <v>79</v>
      </c>
      <c r="C25" s="6" t="s">
        <v>80</v>
      </c>
      <c r="D25" s="7" t="s">
        <v>81</v>
      </c>
      <c r="E25" s="8" t="n">
        <v>100</v>
      </c>
      <c r="F25" s="10" t="n">
        <v>2.5</v>
      </c>
      <c r="G25" s="9" t="n">
        <f aca="false">F25*E25/100</f>
        <v>2.5</v>
      </c>
      <c r="H25" s="7" t="s">
        <v>82</v>
      </c>
      <c r="I25" s="7" t="s">
        <v>83</v>
      </c>
    </row>
    <row r="26" customFormat="false" ht="15" hidden="false" customHeight="false" outlineLevel="0" collapsed="false">
      <c r="A26" s="4" t="s">
        <v>84</v>
      </c>
      <c r="B26" s="4"/>
      <c r="C26" s="4"/>
      <c r="D26" s="4"/>
      <c r="E26" s="4"/>
      <c r="F26" s="4"/>
      <c r="G26" s="4"/>
      <c r="H26" s="4"/>
      <c r="I26" s="4"/>
    </row>
    <row r="27" customFormat="false" ht="57.45" hidden="false" customHeight="false" outlineLevel="0" collapsed="false">
      <c r="A27" s="5" t="n">
        <v>19</v>
      </c>
      <c r="B27" s="5" t="s">
        <v>85</v>
      </c>
      <c r="C27" s="6" t="s">
        <v>86</v>
      </c>
      <c r="D27" s="7" t="s">
        <v>87</v>
      </c>
      <c r="E27" s="8" t="n">
        <v>100</v>
      </c>
      <c r="F27" s="10" t="n">
        <v>1</v>
      </c>
      <c r="G27" s="9" t="n">
        <f aca="false">F27*E27/100</f>
        <v>1</v>
      </c>
      <c r="H27" s="7" t="s">
        <v>88</v>
      </c>
      <c r="I27" s="7" t="s">
        <v>89</v>
      </c>
    </row>
    <row r="28" customFormat="false" ht="46.25" hidden="false" customHeight="false" outlineLevel="0" collapsed="false">
      <c r="A28" s="5" t="n">
        <v>20</v>
      </c>
      <c r="B28" s="5" t="s">
        <v>85</v>
      </c>
      <c r="C28" s="6" t="s">
        <v>90</v>
      </c>
      <c r="D28" s="7" t="s">
        <v>91</v>
      </c>
      <c r="E28" s="8" t="n">
        <v>100</v>
      </c>
      <c r="F28" s="10" t="n">
        <v>1.5</v>
      </c>
      <c r="G28" s="9" t="n">
        <f aca="false">F28*E28/100</f>
        <v>1.5</v>
      </c>
      <c r="H28" s="7" t="s">
        <v>92</v>
      </c>
      <c r="I28" s="7" t="s">
        <v>93</v>
      </c>
    </row>
    <row r="29" customFormat="false" ht="35.05" hidden="false" customHeight="false" outlineLevel="0" collapsed="false">
      <c r="A29" s="5" t="n">
        <v>21</v>
      </c>
      <c r="B29" s="5" t="s">
        <v>85</v>
      </c>
      <c r="C29" s="6" t="s">
        <v>94</v>
      </c>
      <c r="D29" s="7" t="s">
        <v>95</v>
      </c>
      <c r="E29" s="8" t="n">
        <v>30</v>
      </c>
      <c r="F29" s="10" t="n">
        <v>0.5</v>
      </c>
      <c r="G29" s="9" t="n">
        <f aca="false">F29*E29/100</f>
        <v>0.15</v>
      </c>
      <c r="H29" s="7" t="s">
        <v>96</v>
      </c>
      <c r="I29" s="7" t="s">
        <v>97</v>
      </c>
    </row>
    <row r="30" customFormat="false" ht="23.85" hidden="false" customHeight="false" outlineLevel="0" collapsed="false">
      <c r="A30" s="5" t="n">
        <v>22</v>
      </c>
      <c r="B30" s="5" t="s">
        <v>85</v>
      </c>
      <c r="C30" s="6" t="s">
        <v>98</v>
      </c>
      <c r="D30" s="7" t="s">
        <v>99</v>
      </c>
      <c r="E30" s="8" t="n">
        <v>25</v>
      </c>
      <c r="F30" s="10" t="n">
        <v>0.5</v>
      </c>
      <c r="G30" s="9" t="n">
        <f aca="false">F30*E30/100</f>
        <v>0.125</v>
      </c>
      <c r="H30" s="7" t="s">
        <v>100</v>
      </c>
      <c r="I30" s="7" t="s">
        <v>101</v>
      </c>
    </row>
    <row r="31" customFormat="false" ht="35.05" hidden="false" customHeight="false" outlineLevel="0" collapsed="false">
      <c r="A31" s="5" t="n">
        <v>23</v>
      </c>
      <c r="B31" s="5" t="s">
        <v>85</v>
      </c>
      <c r="C31" s="6" t="s">
        <v>102</v>
      </c>
      <c r="D31" s="7" t="s">
        <v>103</v>
      </c>
      <c r="E31" s="8" t="n">
        <v>100</v>
      </c>
      <c r="F31" s="10" t="n">
        <v>0.5</v>
      </c>
      <c r="G31" s="9" t="n">
        <f aca="false">F31*E31/100</f>
        <v>0.5</v>
      </c>
      <c r="H31" s="7" t="s">
        <v>104</v>
      </c>
      <c r="I31" s="7" t="s">
        <v>105</v>
      </c>
    </row>
    <row r="32" customFormat="false" ht="35.05" hidden="false" customHeight="false" outlineLevel="0" collapsed="false">
      <c r="A32" s="5" t="n">
        <v>24</v>
      </c>
      <c r="B32" s="5" t="s">
        <v>85</v>
      </c>
      <c r="C32" s="6" t="s">
        <v>106</v>
      </c>
      <c r="D32" s="7" t="s">
        <v>107</v>
      </c>
      <c r="E32" s="8" t="n">
        <v>100</v>
      </c>
      <c r="F32" s="10" t="n">
        <v>0.2</v>
      </c>
      <c r="G32" s="9" t="n">
        <f aca="false">F32*E32/100</f>
        <v>0.2</v>
      </c>
      <c r="H32" s="7" t="s">
        <v>108</v>
      </c>
      <c r="I32" s="7" t="s">
        <v>109</v>
      </c>
    </row>
    <row r="33" customFormat="false" ht="23.85" hidden="false" customHeight="false" outlineLevel="0" collapsed="false">
      <c r="A33" s="5" t="n">
        <v>25</v>
      </c>
      <c r="B33" s="5" t="s">
        <v>85</v>
      </c>
      <c r="C33" s="6" t="s">
        <v>110</v>
      </c>
      <c r="D33" s="7" t="s">
        <v>111</v>
      </c>
      <c r="E33" s="8" t="n">
        <v>75</v>
      </c>
      <c r="F33" s="10" t="n">
        <v>0.7</v>
      </c>
      <c r="G33" s="9" t="n">
        <f aca="false">F33*E33/100</f>
        <v>0.525</v>
      </c>
      <c r="H33" s="7" t="s">
        <v>112</v>
      </c>
      <c r="I33" s="7" t="s">
        <v>113</v>
      </c>
    </row>
    <row r="34" customFormat="false" ht="15" hidden="false" customHeight="false" outlineLevel="0" collapsed="false">
      <c r="A34" s="5" t="n">
        <v>26</v>
      </c>
      <c r="B34" s="5" t="s">
        <v>85</v>
      </c>
      <c r="C34" s="6" t="s">
        <v>114</v>
      </c>
      <c r="D34" s="7" t="s">
        <v>115</v>
      </c>
      <c r="E34" s="8" t="n">
        <v>50</v>
      </c>
      <c r="F34" s="10" t="n">
        <v>0.6</v>
      </c>
      <c r="G34" s="9" t="n">
        <f aca="false">F34*E34/100</f>
        <v>0.3</v>
      </c>
      <c r="H34" s="7" t="s">
        <v>116</v>
      </c>
      <c r="I34" s="7" t="s">
        <v>117</v>
      </c>
    </row>
    <row r="35" customFormat="false" ht="15" hidden="false" customHeight="false" outlineLevel="0" collapsed="false">
      <c r="A35" s="4" t="s">
        <v>118</v>
      </c>
      <c r="B35" s="4"/>
      <c r="C35" s="4"/>
      <c r="D35" s="4"/>
      <c r="E35" s="4"/>
      <c r="F35" s="4"/>
      <c r="G35" s="4"/>
      <c r="H35" s="4"/>
      <c r="I35" s="4"/>
    </row>
    <row r="36" customFormat="false" ht="23.85" hidden="false" customHeight="false" outlineLevel="0" collapsed="false">
      <c r="A36" s="5" t="n">
        <v>27</v>
      </c>
      <c r="B36" s="5" t="s">
        <v>119</v>
      </c>
      <c r="C36" s="6" t="s">
        <v>120</v>
      </c>
      <c r="D36" s="7" t="s">
        <v>121</v>
      </c>
      <c r="E36" s="8" t="n">
        <v>100</v>
      </c>
      <c r="F36" s="10" t="n">
        <v>1</v>
      </c>
      <c r="G36" s="9" t="n">
        <f aca="false">F36*E36/100</f>
        <v>1</v>
      </c>
      <c r="H36" s="7" t="s">
        <v>122</v>
      </c>
      <c r="I36" s="7" t="s">
        <v>123</v>
      </c>
    </row>
    <row r="37" customFormat="false" ht="23.85" hidden="false" customHeight="false" outlineLevel="0" collapsed="false">
      <c r="A37" s="5" t="n">
        <v>28</v>
      </c>
      <c r="B37" s="5" t="s">
        <v>119</v>
      </c>
      <c r="C37" s="6" t="s">
        <v>124</v>
      </c>
      <c r="D37" s="7" t="s">
        <v>125</v>
      </c>
      <c r="E37" s="8" t="n">
        <v>100</v>
      </c>
      <c r="F37" s="10" t="n">
        <v>0.3</v>
      </c>
      <c r="G37" s="9" t="n">
        <f aca="false">F37*E37/100</f>
        <v>0.3</v>
      </c>
      <c r="H37" s="7" t="s">
        <v>126</v>
      </c>
      <c r="I37" s="7" t="s">
        <v>127</v>
      </c>
    </row>
    <row r="38" customFormat="false" ht="35.05" hidden="false" customHeight="false" outlineLevel="0" collapsed="false">
      <c r="A38" s="5" t="n">
        <v>29</v>
      </c>
      <c r="B38" s="5" t="s">
        <v>119</v>
      </c>
      <c r="C38" s="6" t="s">
        <v>128</v>
      </c>
      <c r="D38" s="7" t="s">
        <v>129</v>
      </c>
      <c r="E38" s="8" t="n">
        <v>100</v>
      </c>
      <c r="F38" s="10" t="n">
        <v>0.5</v>
      </c>
      <c r="G38" s="9" t="n">
        <f aca="false">F38*E38/100</f>
        <v>0.5</v>
      </c>
      <c r="H38" s="7" t="s">
        <v>130</v>
      </c>
      <c r="I38" s="7" t="s">
        <v>131</v>
      </c>
    </row>
    <row r="39" customFormat="false" ht="23.85" hidden="false" customHeight="false" outlineLevel="0" collapsed="false">
      <c r="A39" s="5" t="n">
        <v>30</v>
      </c>
      <c r="B39" s="5" t="s">
        <v>119</v>
      </c>
      <c r="C39" s="6" t="s">
        <v>132</v>
      </c>
      <c r="D39" s="7" t="s">
        <v>133</v>
      </c>
      <c r="E39" s="8" t="n">
        <v>100</v>
      </c>
      <c r="F39" s="10" t="n">
        <v>0.4</v>
      </c>
      <c r="G39" s="9" t="n">
        <f aca="false">F39*E39/100</f>
        <v>0.4</v>
      </c>
      <c r="H39" s="7" t="s">
        <v>134</v>
      </c>
      <c r="I39" s="7" t="s">
        <v>135</v>
      </c>
    </row>
    <row r="40" customFormat="false" ht="15" hidden="false" customHeight="false" outlineLevel="0" collapsed="false">
      <c r="A40" s="4" t="s">
        <v>136</v>
      </c>
      <c r="B40" s="4"/>
      <c r="C40" s="4"/>
      <c r="D40" s="4"/>
      <c r="E40" s="4"/>
      <c r="F40" s="4"/>
      <c r="G40" s="4"/>
      <c r="H40" s="4"/>
      <c r="I40" s="4"/>
    </row>
    <row r="41" customFormat="false" ht="23.85" hidden="false" customHeight="false" outlineLevel="0" collapsed="false">
      <c r="A41" s="5" t="n">
        <v>31</v>
      </c>
      <c r="B41" s="5" t="s">
        <v>137</v>
      </c>
      <c r="C41" s="6" t="s">
        <v>138</v>
      </c>
      <c r="D41" s="7" t="s">
        <v>139</v>
      </c>
      <c r="E41" s="8" t="n">
        <v>80</v>
      </c>
      <c r="F41" s="10" t="n">
        <v>0.25</v>
      </c>
      <c r="G41" s="9" t="n">
        <f aca="false">F41*E41/100</f>
        <v>0.2</v>
      </c>
      <c r="H41" s="7" t="s">
        <v>140</v>
      </c>
      <c r="I41" s="7" t="s">
        <v>141</v>
      </c>
    </row>
    <row r="42" customFormat="false" ht="15" hidden="false" customHeight="false" outlineLevel="0" collapsed="false">
      <c r="A42" s="11"/>
      <c r="B42" s="11"/>
      <c r="C42" s="12" t="s">
        <v>142</v>
      </c>
      <c r="D42" s="11"/>
      <c r="E42" s="11"/>
      <c r="F42" s="13" t="n">
        <f aca="false">SUM(F5:F41)</f>
        <v>100</v>
      </c>
      <c r="G42" s="11"/>
      <c r="H42" s="11"/>
      <c r="I42" s="11"/>
    </row>
    <row r="44" customFormat="false" ht="15" hidden="false" customHeight="false" outlineLevel="0" collapsed="false">
      <c r="C44" s="14" t="s">
        <v>143</v>
      </c>
    </row>
    <row r="45" customFormat="false" ht="15" hidden="false" customHeight="false" outlineLevel="0" collapsed="false">
      <c r="C45" s="15" t="s">
        <v>11</v>
      </c>
      <c r="F45" s="16" t="n">
        <f aca="false">SUM(F6:F14)</f>
        <v>84.2</v>
      </c>
    </row>
    <row r="46" customFormat="false" ht="15" hidden="false" customHeight="false" outlineLevel="0" collapsed="false">
      <c r="C46" s="15" t="s">
        <v>46</v>
      </c>
      <c r="F46" s="16" t="n">
        <f aca="false">SUM(F16:F23)</f>
        <v>5.35</v>
      </c>
    </row>
    <row r="47" customFormat="false" ht="15" hidden="false" customHeight="false" outlineLevel="0" collapsed="false">
      <c r="C47" s="15" t="s">
        <v>78</v>
      </c>
      <c r="F47" s="16" t="n">
        <f aca="false">SUM(F25:F25)</f>
        <v>2.5</v>
      </c>
    </row>
    <row r="48" customFormat="false" ht="15" hidden="false" customHeight="false" outlineLevel="0" collapsed="false">
      <c r="C48" s="15" t="s">
        <v>84</v>
      </c>
      <c r="F48" s="16" t="n">
        <f aca="false">SUM(F27:F34)</f>
        <v>5.5</v>
      </c>
    </row>
    <row r="49" customFormat="false" ht="15" hidden="false" customHeight="false" outlineLevel="0" collapsed="false">
      <c r="C49" s="15" t="s">
        <v>118</v>
      </c>
      <c r="F49" s="16" t="n">
        <f aca="false">SUM(F36:F39)</f>
        <v>2.2</v>
      </c>
    </row>
    <row r="50" customFormat="false" ht="15" hidden="false" customHeight="false" outlineLevel="0" collapsed="false">
      <c r="C50" s="15" t="s">
        <v>136</v>
      </c>
      <c r="F50" s="16" t="n">
        <f aca="false">SUM(F41:F41)</f>
        <v>0.25</v>
      </c>
    </row>
    <row r="51" customFormat="false" ht="15" hidden="false" customHeight="false" outlineLevel="0" collapsed="false">
      <c r="C51" s="15" t="s">
        <v>144</v>
      </c>
      <c r="F51" s="16" t="n">
        <f aca="false">SUM(F18:F23)+SUM(F25:F25)</f>
        <v>5.9</v>
      </c>
    </row>
    <row r="52" customFormat="false" ht="15" hidden="false" customHeight="false" outlineLevel="0" collapsed="false">
      <c r="C52" s="15" t="s">
        <v>145</v>
      </c>
      <c r="F52" s="16" t="n">
        <f aca="false">SUM(F16:F17)</f>
        <v>1.95</v>
      </c>
    </row>
    <row r="54" customFormat="false" ht="30" hidden="false" customHeight="true" outlineLevel="0" collapsed="false">
      <c r="C54" s="2" t="s">
        <v>146</v>
      </c>
      <c r="D54" s="2"/>
      <c r="E54" s="2"/>
      <c r="F54" s="2"/>
      <c r="G54" s="2"/>
      <c r="H54" s="2"/>
      <c r="I54" s="2"/>
    </row>
  </sheetData>
  <mergeCells count="8">
    <mergeCell ref="A2:I2"/>
    <mergeCell ref="A5:I5"/>
    <mergeCell ref="A15:I15"/>
    <mergeCell ref="A24:I24"/>
    <mergeCell ref="A26:I26"/>
    <mergeCell ref="A35:I35"/>
    <mergeCell ref="A40:I40"/>
    <mergeCell ref="C54:I54"/>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3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30"/>
    <col collapsed="false" customWidth="true" hidden="false" outlineLevel="0" max="3" min="3" style="0" width="110"/>
  </cols>
  <sheetData>
    <row r="1" customFormat="false" ht="17.35" hidden="false" customHeight="false" outlineLevel="0" collapsed="false">
      <c r="A1" s="1" t="s">
        <v>147</v>
      </c>
    </row>
    <row r="3" customFormat="false" ht="15" hidden="false" customHeight="false" outlineLevel="0" collapsed="false">
      <c r="A3" s="3" t="s">
        <v>148</v>
      </c>
      <c r="B3" s="3" t="s">
        <v>149</v>
      </c>
      <c r="C3" s="3" t="s">
        <v>150</v>
      </c>
    </row>
    <row r="4" customFormat="false" ht="23.85" hidden="false" customHeight="false" outlineLevel="0" collapsed="false">
      <c r="A4" s="7" t="s">
        <v>151</v>
      </c>
      <c r="B4" s="7" t="s">
        <v>152</v>
      </c>
      <c r="C4" s="7" t="s">
        <v>153</v>
      </c>
    </row>
    <row r="5" customFormat="false" ht="15" hidden="false" customHeight="false" outlineLevel="0" collapsed="false">
      <c r="A5" s="7" t="s">
        <v>154</v>
      </c>
      <c r="B5" s="7" t="s">
        <v>155</v>
      </c>
      <c r="C5" s="7" t="s">
        <v>156</v>
      </c>
    </row>
    <row r="6" customFormat="false" ht="23.85" hidden="false" customHeight="false" outlineLevel="0" collapsed="false">
      <c r="A6" s="7" t="s">
        <v>157</v>
      </c>
      <c r="B6" s="7" t="s">
        <v>158</v>
      </c>
      <c r="C6" s="7" t="s">
        <v>159</v>
      </c>
    </row>
    <row r="7" customFormat="false" ht="15" hidden="false" customHeight="false" outlineLevel="0" collapsed="false">
      <c r="A7" s="7" t="s">
        <v>160</v>
      </c>
      <c r="B7" s="7" t="s">
        <v>161</v>
      </c>
      <c r="C7" s="7" t="s">
        <v>162</v>
      </c>
    </row>
    <row r="8" customFormat="false" ht="23.85" hidden="false" customHeight="false" outlineLevel="0" collapsed="false">
      <c r="A8" s="7" t="s">
        <v>163</v>
      </c>
      <c r="B8" s="7" t="s">
        <v>164</v>
      </c>
      <c r="C8" s="7" t="s">
        <v>165</v>
      </c>
    </row>
    <row r="9" customFormat="false" ht="23.85" hidden="false" customHeight="false" outlineLevel="0" collapsed="false">
      <c r="A9" s="7" t="s">
        <v>166</v>
      </c>
      <c r="B9" s="7" t="s">
        <v>167</v>
      </c>
      <c r="C9" s="7" t="s">
        <v>168</v>
      </c>
    </row>
    <row r="10" customFormat="false" ht="23.85" hidden="false" customHeight="false" outlineLevel="0" collapsed="false">
      <c r="A10" s="7" t="s">
        <v>169</v>
      </c>
      <c r="B10" s="7" t="s">
        <v>170</v>
      </c>
      <c r="C10" s="7" t="s">
        <v>171</v>
      </c>
    </row>
    <row r="12" customFormat="false" ht="15" hidden="false" customHeight="false" outlineLevel="0" collapsed="false">
      <c r="A12" s="14" t="s">
        <v>172</v>
      </c>
    </row>
    <row r="13" customFormat="false" ht="15" hidden="false" customHeight="false" outlineLevel="0" collapsed="false">
      <c r="A13" s="3"/>
      <c r="B13" s="3" t="s">
        <v>173</v>
      </c>
      <c r="C13" s="3" t="s">
        <v>174</v>
      </c>
    </row>
    <row r="14" customFormat="false" ht="15" hidden="false" customHeight="false" outlineLevel="0" collapsed="false">
      <c r="A14" s="7"/>
      <c r="B14" s="7" t="s">
        <v>175</v>
      </c>
      <c r="C14" s="7" t="s">
        <v>176</v>
      </c>
    </row>
    <row r="15" customFormat="false" ht="15" hidden="false" customHeight="false" outlineLevel="0" collapsed="false">
      <c r="A15" s="7"/>
      <c r="B15" s="7" t="s">
        <v>177</v>
      </c>
      <c r="C15" s="7" t="s">
        <v>178</v>
      </c>
    </row>
    <row r="16" customFormat="false" ht="15" hidden="false" customHeight="false" outlineLevel="0" collapsed="false">
      <c r="A16" s="7"/>
      <c r="B16" s="7" t="s">
        <v>179</v>
      </c>
      <c r="C16" s="7" t="s">
        <v>180</v>
      </c>
    </row>
    <row r="17" customFormat="false" ht="15" hidden="false" customHeight="false" outlineLevel="0" collapsed="false">
      <c r="A17" s="7"/>
      <c r="B17" s="7" t="s">
        <v>181</v>
      </c>
      <c r="C17" s="7" t="s">
        <v>182</v>
      </c>
    </row>
    <row r="18" customFormat="false" ht="15" hidden="false" customHeight="false" outlineLevel="0" collapsed="false">
      <c r="A18" s="7"/>
      <c r="B18" s="7" t="s">
        <v>183</v>
      </c>
      <c r="C18" s="7" t="s">
        <v>184</v>
      </c>
    </row>
    <row r="19" customFormat="false" ht="15" hidden="false" customHeight="false" outlineLevel="0" collapsed="false">
      <c r="A19" s="7"/>
      <c r="B19" s="7" t="s">
        <v>185</v>
      </c>
      <c r="C19" s="7" t="s">
        <v>186</v>
      </c>
    </row>
    <row r="20" customFormat="false" ht="15" hidden="false" customHeight="false" outlineLevel="0" collapsed="false">
      <c r="A20" s="7"/>
      <c r="B20" s="7" t="s">
        <v>187</v>
      </c>
      <c r="C20" s="7" t="s">
        <v>188</v>
      </c>
    </row>
    <row r="21" customFormat="false" ht="23.85" hidden="false" customHeight="false" outlineLevel="0" collapsed="false">
      <c r="A21" s="7"/>
      <c r="B21" s="7" t="s">
        <v>189</v>
      </c>
      <c r="C21" s="7" t="s">
        <v>190</v>
      </c>
    </row>
    <row r="23" customFormat="false" ht="15" hidden="false" customHeight="false" outlineLevel="0" collapsed="false">
      <c r="A23" s="14" t="s">
        <v>191</v>
      </c>
    </row>
    <row r="24" customFormat="false" ht="15" hidden="false" customHeight="false" outlineLevel="0" collapsed="false">
      <c r="A24" s="3"/>
      <c r="B24" s="3" t="s">
        <v>192</v>
      </c>
      <c r="C24" s="3" t="s">
        <v>193</v>
      </c>
    </row>
    <row r="25" customFormat="false" ht="15" hidden="false" customHeight="false" outlineLevel="0" collapsed="false">
      <c r="A25" s="7"/>
      <c r="B25" s="7" t="s">
        <v>194</v>
      </c>
      <c r="C25" s="7" t="s">
        <v>195</v>
      </c>
    </row>
    <row r="26" customFormat="false" ht="15" hidden="false" customHeight="false" outlineLevel="0" collapsed="false">
      <c r="A26" s="7"/>
      <c r="B26" s="7" t="s">
        <v>196</v>
      </c>
      <c r="C26" s="7" t="s">
        <v>197</v>
      </c>
    </row>
    <row r="27" customFormat="false" ht="15" hidden="false" customHeight="false" outlineLevel="0" collapsed="false">
      <c r="A27" s="7"/>
      <c r="B27" s="7" t="s">
        <v>198</v>
      </c>
      <c r="C27" s="7" t="s">
        <v>199</v>
      </c>
    </row>
    <row r="28" customFormat="false" ht="23.85" hidden="false" customHeight="false" outlineLevel="0" collapsed="false">
      <c r="A28" s="7"/>
      <c r="B28" s="7" t="s">
        <v>200</v>
      </c>
      <c r="C28" s="7" t="s">
        <v>201</v>
      </c>
    </row>
    <row r="29" customFormat="false" ht="23.85" hidden="false" customHeight="false" outlineLevel="0" collapsed="false">
      <c r="A29" s="7"/>
      <c r="B29" s="7" t="s">
        <v>202</v>
      </c>
      <c r="C29" s="7" t="s">
        <v>203</v>
      </c>
    </row>
    <row r="30" customFormat="false" ht="23.85" hidden="false" customHeight="false" outlineLevel="0" collapsed="false">
      <c r="A30" s="7"/>
      <c r="B30" s="7" t="s">
        <v>204</v>
      </c>
      <c r="C30" s="7" t="s">
        <v>205</v>
      </c>
    </row>
    <row r="31" customFormat="false" ht="15" hidden="false" customHeight="false" outlineLevel="0" collapsed="false">
      <c r="A31" s="7"/>
      <c r="B31" s="7" t="s">
        <v>206</v>
      </c>
      <c r="C31" s="7" t="s">
        <v>207</v>
      </c>
    </row>
    <row r="32" customFormat="false" ht="15" hidden="false" customHeight="false" outlineLevel="0" collapsed="false">
      <c r="A32" s="7"/>
      <c r="B32" s="7" t="s">
        <v>208</v>
      </c>
      <c r="C32" s="7" t="s">
        <v>209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4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18"/>
    <col collapsed="false" customWidth="true" hidden="false" outlineLevel="0" max="3" min="3" style="0" width="62"/>
    <col collapsed="false" customWidth="true" hidden="false" outlineLevel="0" max="4" min="4" style="0" width="40"/>
  </cols>
  <sheetData>
    <row r="1" customFormat="false" ht="17.35" hidden="false" customHeight="false" outlineLevel="0" collapsed="false">
      <c r="A1" s="1" t="s">
        <v>210</v>
      </c>
    </row>
    <row r="3" customFormat="false" ht="15" hidden="false" customHeight="false" outlineLevel="0" collapsed="false">
      <c r="A3" s="14" t="s">
        <v>211</v>
      </c>
    </row>
    <row r="4" customFormat="false" ht="15" hidden="false" customHeight="false" outlineLevel="0" collapsed="false">
      <c r="A4" s="3" t="s">
        <v>212</v>
      </c>
      <c r="B4" s="3" t="s">
        <v>213</v>
      </c>
      <c r="C4" s="3" t="s">
        <v>214</v>
      </c>
    </row>
    <row r="5" customFormat="false" ht="46.25" hidden="false" customHeight="false" outlineLevel="0" collapsed="false">
      <c r="A5" s="6" t="s">
        <v>215</v>
      </c>
      <c r="B5" s="7" t="s">
        <v>216</v>
      </c>
      <c r="C5" s="7" t="s">
        <v>217</v>
      </c>
    </row>
    <row r="6" customFormat="false" ht="46.25" hidden="false" customHeight="false" outlineLevel="0" collapsed="false">
      <c r="A6" s="6" t="s">
        <v>218</v>
      </c>
      <c r="B6" s="7" t="s">
        <v>219</v>
      </c>
      <c r="C6" s="7" t="s">
        <v>220</v>
      </c>
    </row>
    <row r="7" customFormat="false" ht="35.05" hidden="false" customHeight="false" outlineLevel="0" collapsed="false">
      <c r="A7" s="6" t="s">
        <v>221</v>
      </c>
      <c r="B7" s="7" t="s">
        <v>222</v>
      </c>
      <c r="C7" s="7" t="s">
        <v>223</v>
      </c>
    </row>
    <row r="8" customFormat="false" ht="35.05" hidden="false" customHeight="false" outlineLevel="0" collapsed="false">
      <c r="A8" s="6" t="s">
        <v>224</v>
      </c>
      <c r="B8" s="7" t="s">
        <v>225</v>
      </c>
      <c r="C8" s="7" t="s">
        <v>226</v>
      </c>
    </row>
    <row r="9" customFormat="false" ht="35.05" hidden="false" customHeight="false" outlineLevel="0" collapsed="false">
      <c r="A9" s="6" t="s">
        <v>227</v>
      </c>
      <c r="B9" s="7" t="s">
        <v>228</v>
      </c>
      <c r="C9" s="7" t="s">
        <v>229</v>
      </c>
    </row>
    <row r="10" customFormat="false" ht="15" hidden="false" customHeight="false" outlineLevel="0" collapsed="false">
      <c r="A10" s="6" t="s">
        <v>230</v>
      </c>
      <c r="B10" s="7" t="s">
        <v>231</v>
      </c>
      <c r="C10" s="7" t="s">
        <v>232</v>
      </c>
    </row>
    <row r="11" customFormat="false" ht="35.05" hidden="false" customHeight="false" outlineLevel="0" collapsed="false">
      <c r="A11" s="6" t="s">
        <v>233</v>
      </c>
      <c r="B11" s="7" t="s">
        <v>234</v>
      </c>
      <c r="C11" s="7" t="s">
        <v>235</v>
      </c>
    </row>
    <row r="13" customFormat="false" ht="15" hidden="false" customHeight="false" outlineLevel="0" collapsed="false">
      <c r="A13" s="14" t="s">
        <v>236</v>
      </c>
    </row>
    <row r="14" customFormat="false" ht="15" hidden="false" customHeight="false" outlineLevel="0" collapsed="false">
      <c r="A14" s="3" t="s">
        <v>237</v>
      </c>
      <c r="B14" s="3" t="s">
        <v>238</v>
      </c>
      <c r="C14" s="3" t="s">
        <v>239</v>
      </c>
      <c r="D14" s="3" t="s">
        <v>240</v>
      </c>
    </row>
    <row r="15" customFormat="false" ht="23.85" hidden="false" customHeight="false" outlineLevel="0" collapsed="false">
      <c r="A15" s="6" t="s">
        <v>48</v>
      </c>
      <c r="B15" s="7" t="s">
        <v>241</v>
      </c>
      <c r="C15" s="7" t="s">
        <v>242</v>
      </c>
      <c r="D15" s="7" t="s">
        <v>243</v>
      </c>
    </row>
    <row r="16" customFormat="false" ht="23.85" hidden="false" customHeight="false" outlineLevel="0" collapsed="false">
      <c r="A16" s="6" t="s">
        <v>244</v>
      </c>
      <c r="B16" s="7" t="s">
        <v>245</v>
      </c>
      <c r="C16" s="7" t="s">
        <v>246</v>
      </c>
      <c r="D16" s="7" t="s">
        <v>247</v>
      </c>
    </row>
    <row r="17" customFormat="false" ht="23.85" hidden="false" customHeight="false" outlineLevel="0" collapsed="false">
      <c r="A17" s="6" t="s">
        <v>102</v>
      </c>
      <c r="B17" s="7" t="s">
        <v>248</v>
      </c>
      <c r="C17" s="7" t="s">
        <v>249</v>
      </c>
      <c r="D17" s="7" t="s">
        <v>250</v>
      </c>
    </row>
    <row r="18" customFormat="false" ht="15" hidden="false" customHeight="false" outlineLevel="0" collapsed="false">
      <c r="A18" s="6" t="s">
        <v>251</v>
      </c>
      <c r="B18" s="7" t="s">
        <v>252</v>
      </c>
      <c r="C18" s="7" t="s">
        <v>253</v>
      </c>
      <c r="D18" s="7" t="s">
        <v>254</v>
      </c>
    </row>
    <row r="19" customFormat="false" ht="15" hidden="false" customHeight="false" outlineLevel="0" collapsed="false">
      <c r="A19" s="6" t="s">
        <v>255</v>
      </c>
      <c r="B19" s="7" t="s">
        <v>256</v>
      </c>
      <c r="C19" s="7" t="s">
        <v>257</v>
      </c>
      <c r="D19" s="7" t="s">
        <v>258</v>
      </c>
    </row>
    <row r="20" customFormat="false" ht="23.85" hidden="false" customHeight="false" outlineLevel="0" collapsed="false">
      <c r="A20" s="6" t="s">
        <v>259</v>
      </c>
      <c r="B20" s="7" t="s">
        <v>260</v>
      </c>
      <c r="C20" s="7" t="s">
        <v>261</v>
      </c>
      <c r="D20" s="7" t="s">
        <v>262</v>
      </c>
    </row>
    <row r="21" customFormat="false" ht="15" hidden="false" customHeight="false" outlineLevel="0" collapsed="false">
      <c r="A21" s="6" t="s">
        <v>263</v>
      </c>
      <c r="B21" s="7" t="s">
        <v>264</v>
      </c>
      <c r="C21" s="7" t="s">
        <v>265</v>
      </c>
      <c r="D21" s="7" t="s">
        <v>266</v>
      </c>
    </row>
    <row r="22" customFormat="false" ht="23.85" hidden="false" customHeight="false" outlineLevel="0" collapsed="false">
      <c r="A22" s="6" t="s">
        <v>267</v>
      </c>
      <c r="B22" s="7" t="s">
        <v>268</v>
      </c>
      <c r="C22" s="7" t="s">
        <v>269</v>
      </c>
      <c r="D22" s="7" t="s">
        <v>270</v>
      </c>
    </row>
    <row r="23" customFormat="false" ht="23.85" hidden="false" customHeight="false" outlineLevel="0" collapsed="false">
      <c r="A23" s="6" t="s">
        <v>271</v>
      </c>
      <c r="B23" s="7" t="s">
        <v>272</v>
      </c>
      <c r="C23" s="7" t="s">
        <v>273</v>
      </c>
      <c r="D23" s="7" t="s">
        <v>274</v>
      </c>
    </row>
    <row r="25" customFormat="false" ht="15" hidden="false" customHeight="false" outlineLevel="0" collapsed="false">
      <c r="A25" s="14" t="s">
        <v>275</v>
      </c>
    </row>
    <row r="26" customFormat="false" ht="15" hidden="false" customHeight="false" outlineLevel="0" collapsed="false">
      <c r="A26" s="3" t="s">
        <v>276</v>
      </c>
      <c r="B26" s="3" t="s">
        <v>277</v>
      </c>
    </row>
    <row r="27" customFormat="false" ht="46.25" hidden="false" customHeight="false" outlineLevel="0" collapsed="false">
      <c r="A27" s="6" t="s">
        <v>278</v>
      </c>
      <c r="B27" s="7" t="s">
        <v>279</v>
      </c>
    </row>
    <row r="28" customFormat="false" ht="23.85" hidden="false" customHeight="false" outlineLevel="0" collapsed="false">
      <c r="A28" s="6" t="s">
        <v>280</v>
      </c>
      <c r="B28" s="7" t="s">
        <v>281</v>
      </c>
    </row>
    <row r="29" customFormat="false" ht="23.85" hidden="false" customHeight="false" outlineLevel="0" collapsed="false">
      <c r="A29" s="6" t="s">
        <v>282</v>
      </c>
      <c r="B29" s="7" t="s">
        <v>283</v>
      </c>
    </row>
    <row r="30" customFormat="false" ht="23.85" hidden="false" customHeight="false" outlineLevel="0" collapsed="false">
      <c r="A30" s="6" t="s">
        <v>284</v>
      </c>
      <c r="B30" s="7" t="s">
        <v>285</v>
      </c>
    </row>
    <row r="31" customFormat="false" ht="57.45" hidden="false" customHeight="false" outlineLevel="0" collapsed="false">
      <c r="A31" s="6" t="s">
        <v>286</v>
      </c>
      <c r="B31" s="7" t="s">
        <v>287</v>
      </c>
    </row>
    <row r="32" customFormat="false" ht="35.05" hidden="false" customHeight="false" outlineLevel="0" collapsed="false">
      <c r="A32" s="6" t="s">
        <v>288</v>
      </c>
      <c r="B32" s="7" t="s">
        <v>289</v>
      </c>
    </row>
    <row r="33" customFormat="false" ht="35.05" hidden="false" customHeight="false" outlineLevel="0" collapsed="false">
      <c r="A33" s="6" t="s">
        <v>290</v>
      </c>
      <c r="B33" s="7" t="s">
        <v>291</v>
      </c>
    </row>
    <row r="34" customFormat="false" ht="15" hidden="false" customHeight="false" outlineLevel="0" collapsed="false">
      <c r="A34" s="6" t="s">
        <v>292</v>
      </c>
      <c r="B34" s="7" t="s">
        <v>293</v>
      </c>
    </row>
    <row r="35" customFormat="false" ht="35.05" hidden="false" customHeight="false" outlineLevel="0" collapsed="false">
      <c r="A35" s="6" t="s">
        <v>294</v>
      </c>
      <c r="B35" s="7" t="s">
        <v>295</v>
      </c>
    </row>
    <row r="36" customFormat="false" ht="46.25" hidden="false" customHeight="false" outlineLevel="0" collapsed="false">
      <c r="A36" s="6" t="s">
        <v>296</v>
      </c>
      <c r="B36" s="7" t="s">
        <v>297</v>
      </c>
    </row>
    <row r="37" customFormat="false" ht="35.05" hidden="false" customHeight="false" outlineLevel="0" collapsed="false">
      <c r="A37" s="6" t="s">
        <v>298</v>
      </c>
      <c r="B37" s="7" t="s">
        <v>299</v>
      </c>
    </row>
    <row r="38" customFormat="false" ht="23.85" hidden="false" customHeight="false" outlineLevel="0" collapsed="false">
      <c r="A38" s="6" t="s">
        <v>300</v>
      </c>
      <c r="B38" s="7" t="s">
        <v>301</v>
      </c>
    </row>
    <row r="39" customFormat="false" ht="35.05" hidden="false" customHeight="false" outlineLevel="0" collapsed="false">
      <c r="A39" s="6" t="s">
        <v>302</v>
      </c>
      <c r="B39" s="7" t="s">
        <v>303</v>
      </c>
    </row>
    <row r="40" customFormat="false" ht="35.05" hidden="false" customHeight="false" outlineLevel="0" collapsed="false">
      <c r="A40" s="6" t="s">
        <v>304</v>
      </c>
      <c r="B40" s="7" t="s">
        <v>305</v>
      </c>
    </row>
    <row r="41" customFormat="false" ht="35.05" hidden="false" customHeight="false" outlineLevel="0" collapsed="false">
      <c r="A41" s="6" t="s">
        <v>306</v>
      </c>
      <c r="B41" s="7" t="s">
        <v>307</v>
      </c>
    </row>
    <row r="42" customFormat="false" ht="23.85" hidden="false" customHeight="false" outlineLevel="0" collapsed="false">
      <c r="A42" s="6" t="s">
        <v>308</v>
      </c>
      <c r="B42" s="7" t="s">
        <v>309</v>
      </c>
    </row>
    <row r="43" customFormat="false" ht="23.85" hidden="false" customHeight="false" outlineLevel="0" collapsed="false">
      <c r="A43" s="6" t="s">
        <v>310</v>
      </c>
      <c r="B43" s="7" t="s">
        <v>311</v>
      </c>
    </row>
    <row r="44" customFormat="false" ht="46.25" hidden="false" customHeight="false" outlineLevel="0" collapsed="false">
      <c r="A44" s="6" t="s">
        <v>312</v>
      </c>
      <c r="B44" s="7" t="s">
        <v>313</v>
      </c>
    </row>
    <row r="46" customFormat="false" ht="15" hidden="false" customHeight="false" outlineLevel="0" collapsed="false">
      <c r="A46" s="14" t="s">
        <v>314</v>
      </c>
    </row>
    <row r="47" customFormat="false" ht="109.5" hidden="false" customHeight="true" outlineLevel="0" collapsed="false">
      <c r="A47" s="17" t="s">
        <v>315</v>
      </c>
      <c r="B47" s="17"/>
      <c r="C47" s="17"/>
      <c r="D47" s="17"/>
    </row>
    <row r="49" customFormat="false" ht="30" hidden="false" customHeight="true" outlineLevel="0" collapsed="false">
      <c r="A49" s="2" t="s">
        <v>316</v>
      </c>
      <c r="B49" s="2"/>
      <c r="C49" s="2"/>
      <c r="D49" s="2"/>
    </row>
  </sheetData>
  <mergeCells count="2">
    <mergeCell ref="A47:D47"/>
    <mergeCell ref="A49:D4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2026-10-08T21:11:05Z</dcterms:created>
  <dc:creator>openpyxl</dc:creator>
  <dc:description/>
  <dc:language>en-US</dc:language>
  <cp:lastModifiedBy/>
  <dcterms:modified xsi:type="dcterms:W3CDTF">2026-10-08T21:11:05Z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