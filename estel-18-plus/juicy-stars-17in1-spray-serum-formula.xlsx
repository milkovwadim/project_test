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цептура" sheetId="1" state="visible" r:id="rId3"/>
    <sheet name="Технология" sheetId="2" state="visible" r:id="rId4"/>
    <sheet name="ЕС и изменения" sheetId="3" state="visible" r:id="rId5"/>
  </sheets>
  <definedNames>
    <definedName function="false" hidden="false" localSheetId="0" name="_xlnm.Print_Titles" vbProcedure="false">Рецептура!$4:$4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<sst xmlns="http://schemas.openxmlformats.org/spreadsheetml/2006/main" count="236" uniqueCount="213">
  <si>
    <t xml:space="preserve">Рецептура: спрей-сыворотка для волос типа JUICY STARS «17 в 1 Wanna Toffee Vibes», 150 мл. Версия 1.0 от 08.10.2026</t>
  </si>
  <si>
    <t xml:space="preserve">Лёгкое белое молочко-спрей на цетримония хлориде и миристиловом спирте с амодиметиконом и силиконовым кватом Quaternium-80. INCI воспроизведён по упаковке один в один; pH 4,5 под бензоат-сорбатную консервацию. Эталон не измерен: дозировки оценены по порядку INCI и типу продукта, требуют лабораторной проверки. Синим выделены вводимые значения, чёрным: формулы.</t>
  </si>
  <si>
    <t xml:space="preserve">№</t>
  </si>
  <si>
    <t xml:space="preserve">Фаза</t>
  </si>
  <si>
    <t xml:space="preserve">INCI</t>
  </si>
  <si>
    <t xml:space="preserve">Сырьё: пример / аналог</t>
  </si>
  <si>
    <t xml:space="preserve">Активное в сырье, %</t>
  </si>
  <si>
    <t xml:space="preserve">Ввод, % масс.</t>
  </si>
  <si>
    <t xml:space="preserve">Активное в продукте, %</t>
  </si>
  <si>
    <t xml:space="preserve">Функция</t>
  </si>
  <si>
    <t xml:space="preserve">Примечание</t>
  </si>
  <si>
    <t xml:space="preserve">Фаза A. Водная фаза, нагрев до 75–80 °C</t>
  </si>
  <si>
    <t xml:space="preserve">A</t>
  </si>
  <si>
    <t xml:space="preserve">Aqua</t>
  </si>
  <si>
    <t xml:space="preserve">Вода деионизированная (проводимость &lt;10 мкСм/см)</t>
  </si>
  <si>
    <t xml:space="preserve">Растворитель, основа</t>
  </si>
  <si>
    <t xml:space="preserve">До 100 %; долить с учётом потерь на испарение. Хелатора в INCI оригинала нет; при желании Disodium EDTA 0,05 % (добавит позицию в INCI)</t>
  </si>
  <si>
    <t xml:space="preserve">Glycerin</t>
  </si>
  <si>
    <t xml:space="preserve">Глицерин растительный 99,5 %</t>
  </si>
  <si>
    <t xml:space="preserve">Увлажнитель</t>
  </si>
  <si>
    <t xml:space="preserve">Второй по INCI, поэтому не менее 2–3 %</t>
  </si>
  <si>
    <t xml:space="preserve">Butylene Glycol</t>
  </si>
  <si>
    <t xml:space="preserve">1,3-бутиленгликоль косметический (Daicel, Godavari, китайские производители)</t>
  </si>
  <si>
    <t xml:space="preserve">Увлажнитель, носитель</t>
  </si>
  <si>
    <t xml:space="preserve">Не более 0,9 %, иначе по правилам ЕС его придётся поднять в INCI выше отдушки</t>
  </si>
  <si>
    <t xml:space="preserve">Cetrimonium Chloride</t>
  </si>
  <si>
    <t xml:space="preserve">Раствор 30 %: Dehyquart A-CA (BASF, 25 %), Varisoft 300 (Evonik), Genamin CTAC (Clariant); не европейские: Quartamin 60W (Kao, Япония), китайский CTAC 30 %</t>
  </si>
  <si>
    <t xml:space="preserve">Катионный эмульгатор: с миристиловым спиртом строит ламеллярную структуру; кондиционер, антистатик</t>
  </si>
  <si>
    <t xml:space="preserve">0,51 % активного плюс ~0,05 % из амодиметиконовой эмульсии. ЕС Annex III/44: не более 1,0 % в несмываемых средствах для волос. В INCI оригинала стоит рядом с амодиметиконом, но без отдельного ввода эмульсия с 1,5 % миристилового спирта не устоит</t>
  </si>
  <si>
    <t xml:space="preserve">Фаза B. Масляная фаза, нагрев до 70–75 °C</t>
  </si>
  <si>
    <t xml:space="preserve">B</t>
  </si>
  <si>
    <t xml:space="preserve">Myristyl Alcohol</t>
  </si>
  <si>
    <t xml:space="preserve">Lanette 14 (BASF) / Kalcol 4098 (Kao, Япония) / C14 спирт азиатских олеохимиков (KLK)</t>
  </si>
  <si>
    <t xml:space="preserve">Структурообразователь: лёгкое молочко без воскового ощущения</t>
  </si>
  <si>
    <t xml:space="preserve">Точка плавления 38 °C: даёт лёгкость, но ламеллярная сетка слабее, чем на цетиловом спирте. Регулятор вязкости: 1,0–2,0 %</t>
  </si>
  <si>
    <t xml:space="preserve">Isononyl Isononanoate</t>
  </si>
  <si>
    <t xml:space="preserve">Lanol 99 (Seppic) / Dermol 99 (Alzo) / Salacos 99 (Nisshin OilliO, Япония) / китайский ININ</t>
  </si>
  <si>
    <t xml:space="preserve">Сухой лёгкий эмолент, растворитель УФ-фильтра</t>
  </si>
  <si>
    <t xml:space="preserve">Не более 0,9 %, чтобы остаться ниже 1 % в INCI</t>
  </si>
  <si>
    <t xml:space="preserve">Ethylhexyl Methoxycinnamate</t>
  </si>
  <si>
    <t xml:space="preserve">Uvinul MC 80 (BASF) / Parsol MCX (DSM) / китайский OMC</t>
  </si>
  <si>
    <t xml:space="preserve">УФ-защита волос и цвета</t>
  </si>
  <si>
    <t xml:space="preserve">ЕС Annex VI/12: не более 10 %</t>
  </si>
  <si>
    <t xml:space="preserve">Фаза C. Летучий силикон, ввод при температуре не выше 40 °C с гомогенизацией</t>
  </si>
  <si>
    <t xml:space="preserve">C</t>
  </si>
  <si>
    <t xml:space="preserve">Cyclopentasiloxane</t>
  </si>
  <si>
    <t xml:space="preserve">XIAMETER PMX-0245 (Dow) / китайский D5 косметический</t>
  </si>
  <si>
    <t xml:space="preserve">Летучий силикон: лёгкость, скольжение, быстрое высыхание</t>
  </si>
  <si>
    <t xml:space="preserve">Ввести с гомогенизацией 1–2 мин. ЕС: в несмываемых не более 0,1 % с 06.06.2027, тогда заменить на изододекан или диметикон 1,5 сСт</t>
  </si>
  <si>
    <t xml:space="preserve">Фаза D. Силиконовые кондиционеры и активы, ввод при температуре не выше 40 °C, перемешивание</t>
  </si>
  <si>
    <t xml:space="preserve">D</t>
  </si>
  <si>
    <t xml:space="preserve">Amodimethicone (and) Trideceth-12 (and) Cetrimonium Chloride</t>
  </si>
  <si>
    <t xml:space="preserve">DOWSIL CE-8411 Smooth Plus / XIAMETER MEM-8299 (Dow) или китайские аналоги с тем же INCI</t>
  </si>
  <si>
    <t xml:space="preserve">Аминосиликон: восстановление кончиков, гладкость, термозащита, селективно садится на повреждённые участки</t>
  </si>
  <si>
    <t xml:space="preserve">Микроэмульсия, в готовую эмульсию при температуре не выше 40 °C; содержание силикона по TDS (ориентир 25–35 %)</t>
  </si>
  <si>
    <t xml:space="preserve">Quaternium-80</t>
  </si>
  <si>
    <t xml:space="preserve">ABIL Quat 3272 (Evonik) или ABIL Quat 3474 для более лёгкого ощущения; китайские аналоги</t>
  </si>
  <si>
    <t xml:space="preserve">Силиконовый дикват: мягкость, блеск, расчёсывание, антистатик</t>
  </si>
  <si>
    <t xml:space="preserve">Доза по сырью; совместим с катионной базой</t>
  </si>
  <si>
    <t xml:space="preserve">Panthenol</t>
  </si>
  <si>
    <t xml:space="preserve">D-Panthenol 75 W (BASF), раствор 75 %; китайский DL-пантенол</t>
  </si>
  <si>
    <t xml:space="preserve">Провитамин B5: увлажнение, эластичность</t>
  </si>
  <si>
    <t xml:space="preserve">1,0 % активного, пятый по INCI оригинала</t>
  </si>
  <si>
    <t xml:space="preserve">Hydrolyzed Keratin</t>
  </si>
  <si>
    <t xml:space="preserve">Гидролизат кератина, раствор 20–30 % (Keratec IFP PE, Keraplast; аналоги TRI-K, Croda, Китай)</t>
  </si>
  <si>
    <t xml:space="preserve">Восстановление, укрепление, термозащита</t>
  </si>
  <si>
    <t xml:space="preserve">Активное по грейду; если грейд на бутиленгликоле, учесть в позиции 3</t>
  </si>
  <si>
    <t xml:space="preserve">Фаза E. Консерванты и отдушка, ввод при температуре не выше 35 °C</t>
  </si>
  <si>
    <t xml:space="preserve">E</t>
  </si>
  <si>
    <t xml:space="preserve">Potassium Sorbate</t>
  </si>
  <si>
    <t xml:space="preserve">Сорбат калия косметический; растворить в воде 1:5</t>
  </si>
  <si>
    <t xml:space="preserve">Консервант: плесени, дрожжи</t>
  </si>
  <si>
    <t xml:space="preserve">Работает при pH не выше 5; ЕС Annex V/4: не более 0,6 % как кислота (здесь ~0,15 %)</t>
  </si>
  <si>
    <t xml:space="preserve">Sodium Benzoate</t>
  </si>
  <si>
    <t xml:space="preserve">Бензоат натрия косметический; растворить в воде 1:5</t>
  </si>
  <si>
    <t xml:space="preserve">Консервант: бактерии, дрожжи</t>
  </si>
  <si>
    <t xml:space="preserve">Работает при pH не выше 5; ЕС Annex V/1: не более 0,5 % как кислота в несмываемых (здесь ~0,26 %). Альтернатива сорбату и бензоату: Euxyl K 712 (Schülke) 1,0 %</t>
  </si>
  <si>
    <t xml:space="preserve">Benzyl Alcohol</t>
  </si>
  <si>
    <t xml:space="preserve">Бензиловый спирт косметический (Lanxess, китайские производители)</t>
  </si>
  <si>
    <t xml:space="preserve">Консервант широкого спектра, растворитель отдушки</t>
  </si>
  <si>
    <t xml:space="preserve">ЕС Annex V/34: не более 1,0 %; маркируемый аллерген, уже есть в INCI оригинала</t>
  </si>
  <si>
    <t xml:space="preserve">Parfum</t>
  </si>
  <si>
    <t xml:space="preserve">Отдушка «toffee» заказчика с IFRA-сертификатом и декларацией аллергенов</t>
  </si>
  <si>
    <t xml:space="preserve">Отдушка</t>
  </si>
  <si>
    <t xml:space="preserve">Аллергены по INCI оригинала: Benzyl Salicylate, Coumarin, Hydroxycitronellal, Limonene, Benzaldehyde, Citrus Limon Peel Oil, Hexamethylindanopyran, Tetramethyl Acetyloctahydronaphthalenes. Солюбилизатора в INCI нет: вводить под гомогенизацией 30 с</t>
  </si>
  <si>
    <t xml:space="preserve">Фаза F. Корректировка</t>
  </si>
  <si>
    <t xml:space="preserve">F</t>
  </si>
  <si>
    <t xml:space="preserve">Citric Acid</t>
  </si>
  <si>
    <t xml:space="preserve">Лимонная кислота безводная, вводить как 50 % водный раствор</t>
  </si>
  <si>
    <t xml:space="preserve">Регулятор pH</t>
  </si>
  <si>
    <t xml:space="preserve">q.s. до pH 4,5 ± 0,2; ориентир 0,15–0,40 % по кислоте (бензоат и сорбат подщелачивают)</t>
  </si>
  <si>
    <t xml:space="preserve">ИТОГО</t>
  </si>
  <si>
    <t xml:space="preserve">Сумма по фазам, % масс.</t>
  </si>
  <si>
    <t xml:space="preserve">Эмолент, УФ-фильтр и D5 без структурообразователя (поз. 6–8)</t>
  </si>
  <si>
    <t xml:space="preserve">Миристиловый спирт, структурообразователь (поз. 5)</t>
  </si>
  <si>
    <t xml:space="preserve">Источник INCI: карточка товара на маркетплейсе (скриншот заказчика). Сырьё: Dow (DOWSIL CE-8411 / XIAMETER MEM-8299, PMX-0245), Evonik (ABIL Quat 3272, Varisoft 300), BASF (Lanette 14, Dehyquart A-CA, Uvinul MC 80), Seppic (Lanol 99); составы по TDS поставщиков.</t>
  </si>
  <si>
    <t xml:space="preserve">Порядок изготовления (лабораторный замес, роторно-статорный гомогенизатор)</t>
  </si>
  <si>
    <t xml:space="preserve">Шаг</t>
  </si>
  <si>
    <t xml:space="preserve">Стадия</t>
  </si>
  <si>
    <t xml:space="preserve">Операция</t>
  </si>
  <si>
    <t xml:space="preserve">1</t>
  </si>
  <si>
    <t xml:space="preserve">Фаза A</t>
  </si>
  <si>
    <t xml:space="preserve">В воду при перемешивании ввести глицерин и бутиленгликоль, нагреть до 75–80 °C, ввести раствор цетримония хлорида, перемешивать до прозрачности.</t>
  </si>
  <si>
    <t xml:space="preserve">2</t>
  </si>
  <si>
    <t xml:space="preserve">Фаза B</t>
  </si>
  <si>
    <t xml:space="preserve">Сплавить миристиловый спирт с изонониловым изононаноатом и УФ-фильтром при 70–75 °C до прозрачного расплава.</t>
  </si>
  <si>
    <t xml:space="preserve">3</t>
  </si>
  <si>
    <t xml:space="preserve">Эмульгирование</t>
  </si>
  <si>
    <t xml:space="preserve">Ввести фазу B в фазу A при 75 °C под роторно-статорным гомогенизатором, 3–5 мин (лабораторно 3000–5000 об/мин). Перейти на якорную или лопастную мешалку, охлаждать.</t>
  </si>
  <si>
    <t xml:space="preserve">4</t>
  </si>
  <si>
    <t xml:space="preserve">Фаза C</t>
  </si>
  <si>
    <t xml:space="preserve">При температуре не выше 40 °C ввести циклопентасилоксан, гомогенизация 1–2 мин, закрытая ёмкость.</t>
  </si>
  <si>
    <t xml:space="preserve">5</t>
  </si>
  <si>
    <t xml:space="preserve">Фаза D</t>
  </si>
  <si>
    <t xml:space="preserve">При температуре не выше 40 °C ввести амодиметиконовую эмульсию, Quaternium-80, пантенол, кератин; перемешивать до однородности после каждого.</t>
  </si>
  <si>
    <t xml:space="preserve">6</t>
  </si>
  <si>
    <t xml:space="preserve">Фаза E</t>
  </si>
  <si>
    <t xml:space="preserve">При температуре не выше 35 °C ввести растворы сорбата и бензоата, бензиловый спирт, затем отдушку под короткой гомогенизацией 30 с.</t>
  </si>
  <si>
    <t xml:space="preserve">7</t>
  </si>
  <si>
    <t xml:space="preserve">Фаза F</t>
  </si>
  <si>
    <t xml:space="preserve">Довести pH до 4,5 ± 0,2 раствором лимонной кислоты. Долить воду до 100 % с учётом потерь. Перемешивать 10 мин, удалить воздух (вакуум или отстаивание).</t>
  </si>
  <si>
    <t xml:space="preserve">Контроль готового продукта</t>
  </si>
  <si>
    <t xml:space="preserve">Показатель</t>
  </si>
  <si>
    <t xml:space="preserve">Норма</t>
  </si>
  <si>
    <t xml:space="preserve">Внешний вид</t>
  </si>
  <si>
    <t xml:space="preserve">Белое или слегка полупрозрачное однородное молочко без расслоения</t>
  </si>
  <si>
    <t xml:space="preserve">pH (20 °C)</t>
  </si>
  <si>
    <t xml:space="preserve">4,5 ± 0,2: выше 5,0 бензоат и сорбат перестают работать</t>
  </si>
  <si>
    <t xml:space="preserve">Вязкость</t>
  </si>
  <si>
    <t xml:space="preserve">50–200 мПа·с (по методике технолога), рычаг: миристиловый спирт</t>
  </si>
  <si>
    <t xml:space="preserve">Плотность</t>
  </si>
  <si>
    <t xml:space="preserve">Около 1,00 г/см³</t>
  </si>
  <si>
    <t xml:space="preserve">Распыление</t>
  </si>
  <si>
    <t xml:space="preserve">Равномерный факел без крупных капель, помпа не забивается после 50 нажатий</t>
  </si>
  <si>
    <t xml:space="preserve">Стабильность</t>
  </si>
  <si>
    <t xml:space="preserve">Центрифуга 3000 об/мин 30 мин, 3 цикла заморозки, термостат: сначала 40 °C, затем 45 °C (см. тонкую настройку)</t>
  </si>
  <si>
    <t xml:space="preserve">Микробиология</t>
  </si>
  <si>
    <t xml:space="preserve">Challenge-тест по ISO 11930: бензоат-сорбатная система без хелатора, проверять обязательно</t>
  </si>
  <si>
    <t xml:space="preserve">Тонкая настройка</t>
  </si>
  <si>
    <t xml:space="preserve">Проблема</t>
  </si>
  <si>
    <t xml:space="preserve">Действие</t>
  </si>
  <si>
    <t xml:space="preserve">Вязкость ниже целевой</t>
  </si>
  <si>
    <t xml:space="preserve">Миристиловый спирт +0,2–0,3 %</t>
  </si>
  <si>
    <t xml:space="preserve">Вязкость выше целевой</t>
  </si>
  <si>
    <t xml:space="preserve">Миристиловый спирт −0,2 % или цетримония хлорид до 2,0 % по сырью (сдвиг соотношения в сторону ПАВ)</t>
  </si>
  <si>
    <t xml:space="preserve">Сливки или расслоение</t>
  </si>
  <si>
    <t xml:space="preserve">Усилить гомогенизацию на стадии 3; цетримония хлорид до 2,0 % по сырью; амодиметиконовую эмульсию до 2,5 %</t>
  </si>
  <si>
    <t xml:space="preserve">Не держит 45 °C</t>
  </si>
  <si>
    <t xml:space="preserve">Миристиловый спирт плавится при 38 °C. Заменить треть на цетиловый спирт (в INCI добавится Cetyl Alcohol) или ввести 0,1 % гидроксиэтилцеллюлозы (добавится Hydroxyethylcellulose)</t>
  </si>
  <si>
    <t xml:space="preserve">Не прошёл challenge-тест</t>
  </si>
  <si>
    <t xml:space="preserve">pH до 4,3; бензиловый спирт до 0,8 %; Disodium EDTA 0,05 % (добавится в INCI)</t>
  </si>
  <si>
    <t xml:space="preserve">Отдушка всплывает</t>
  </si>
  <si>
    <t xml:space="preserve">Отдушку в фазу B вместо фазы D или PEG-40 Hydrogenated Castor Oil 0,3 % (добавится в INCI)</t>
  </si>
  <si>
    <t xml:space="preserve">Рынок ЕС после 06.2027</t>
  </si>
  <si>
    <t xml:space="preserve">Cyclopentasiloxane заменить на Isododecane 1,3 % или Dimethicone 1,5 сСт 1,3 % (INCI изменится)</t>
  </si>
  <si>
    <t xml:space="preserve">Отличия и соответствие Регламенту (ЕС) 1223/2009</t>
  </si>
  <si>
    <t xml:space="preserve">Соответствие INCI оригинала и что стоит учесть</t>
  </si>
  <si>
    <t xml:space="preserve">Компонент</t>
  </si>
  <si>
    <t xml:space="preserve">Решение</t>
  </si>
  <si>
    <t xml:space="preserve">Основание</t>
  </si>
  <si>
    <t xml:space="preserve">Все 18 позиций INCI оригинала</t>
  </si>
  <si>
    <t xml:space="preserve">Сохранены</t>
  </si>
  <si>
    <t xml:space="preserve">Рецептура воспроизводит список с упаковки без добавлений: Aqua, Glycerin, Myristyl Alcohol, Cyclopentasiloxane, Panthenol, Hydrolyzed Keratin, Isononyl Isononanoate, Quaternium-80, Amodimethicone, Cetrimonium Chloride, Trideceth-12, Parfum, Ethylhexyl Methoxycinnamate, Butylene Glycol, Citric Acid, Potassium Sorbate, Sodium Benzoate, Benzyl Alcohol плюс аллергены отдушки.</t>
  </si>
  <si>
    <t xml:space="preserve">Введён отдельно</t>
  </si>
  <si>
    <t xml:space="preserve">На этикетке он стоит рядом с амодиметиконом и тридецетом-12, как в составе эмульсии. Но 0,05 % из эмульсии не удержат 1,5 % миристилового спирта, поэтому в рецептуре он добавлен отдельно как основной эмульгатор; INCI от этого не меняется.</t>
  </si>
  <si>
    <t xml:space="preserve">Сохранён</t>
  </si>
  <si>
    <t xml:space="preserve">Для ЕАЭС без ограничений. Для ЕС допустим в несмываемых до 06.06.2027 (Регл. 2024/1328), после замена на изододекан или линейный диметикон.</t>
  </si>
  <si>
    <t xml:space="preserve">Хелатор</t>
  </si>
  <si>
    <t xml:space="preserve">Не добавлен</t>
  </si>
  <si>
    <t xml:space="preserve">В INCI оригинала его нет. Для бензоат-сорбатной системы и стабильности отдушки желателен Disodium EDTA 0,05 %, это добавит позицию в INCI; решение за заказчиком.</t>
  </si>
  <si>
    <t xml:space="preserve">Солюбилизатор отдушки</t>
  </si>
  <si>
    <t xml:space="preserve">В INCI оригинала его нет: отдушка 0,5 % вводится в эмульсию под гомогенизацией. Если всплывает, см. тонкую настройку.</t>
  </si>
  <si>
    <t xml:space="preserve">Регуляторные лимиты ЕС и уровни в рецептуре</t>
  </si>
  <si>
    <t xml:space="preserve">Вещество</t>
  </si>
  <si>
    <t xml:space="preserve">Ссылка</t>
  </si>
  <si>
    <t xml:space="preserve">Лимит / требование</t>
  </si>
  <si>
    <t xml:space="preserve">В рецептуре</t>
  </si>
  <si>
    <t xml:space="preserve">Annex III/44</t>
  </si>
  <si>
    <t xml:space="preserve">Не более 1,0 % в несмываемых средствах для волос</t>
  </si>
  <si>
    <t xml:space="preserve">~0,56 % (0,51 % отдельно + из эмульсии)</t>
  </si>
  <si>
    <t xml:space="preserve">Annex V/34</t>
  </si>
  <si>
    <t xml:space="preserve">Не более 1,0 %; аллерген, указывается в INCI</t>
  </si>
  <si>
    <t xml:space="preserve">0,60 %</t>
  </si>
  <si>
    <t xml:space="preserve">Бензойная кислота и соли</t>
  </si>
  <si>
    <t xml:space="preserve">Annex V/1</t>
  </si>
  <si>
    <t xml:space="preserve">Не более 0,5 % как кислота в несмываемых</t>
  </si>
  <si>
    <t xml:space="preserve">Sodium Benzoate 0,30 % ≈ 0,26 % кислоты</t>
  </si>
  <si>
    <t xml:space="preserve">Сорбиновая кислота и соли</t>
  </si>
  <si>
    <t xml:space="preserve">Annex V/4</t>
  </si>
  <si>
    <t xml:space="preserve">Не более 0,6 % как кислота</t>
  </si>
  <si>
    <t xml:space="preserve">Potassium Sorbate 0,20 % ≈ 0,15 % кислоты</t>
  </si>
  <si>
    <t xml:space="preserve">Annex VI/12</t>
  </si>
  <si>
    <t xml:space="preserve">Не более 10 %</t>
  </si>
  <si>
    <t xml:space="preserve">0,30 %</t>
  </si>
  <si>
    <t xml:space="preserve">Cyclopentasiloxane (D5)</t>
  </si>
  <si>
    <t xml:space="preserve">Регл. 2024/1328</t>
  </si>
  <si>
    <t xml:space="preserve">Не более 0,1 % в несмываемых с 06.06.2027</t>
  </si>
  <si>
    <t xml:space="preserve">1,30 %: допустимо до этой даты, затем замена</t>
  </si>
  <si>
    <t xml:space="preserve">Аллергены отдушки</t>
  </si>
  <si>
    <t xml:space="preserve">Регл. 2023/1545</t>
  </si>
  <si>
    <t xml:space="preserve">Указывать в INCI при более 0,001 % в несмываемых</t>
  </si>
  <si>
    <t xml:space="preserve">Перечислены на этикетке оригинала, включая Hexamethylindanopyran и Tetramethyl Acetyloctahydronaphthalenes из нового списка</t>
  </si>
  <si>
    <t xml:space="preserve">Формальдегид</t>
  </si>
  <si>
    <t xml:space="preserve">Регл. 2022/1181</t>
  </si>
  <si>
    <t xml:space="preserve">Надпись при содержании более 0,001 %</t>
  </si>
  <si>
    <t xml:space="preserve">Не требуется: формальдегид-доноров нет</t>
  </si>
  <si>
    <t xml:space="preserve">Quaternium-80, Amodimethicone, Trideceth-12, Myristyl Alcohol</t>
  </si>
  <si>
    <t xml:space="preserve">Не нормируются</t>
  </si>
  <si>
    <t xml:space="preserve">Ограничений в приложениях Регл. 1223/2009 нет</t>
  </si>
  <si>
    <t xml:space="preserve">По рецептуре</t>
  </si>
  <si>
    <t xml:space="preserve">Ориентировочный INCI готового продукта (по убыванию; компоненты ниже 1 % можно указывать в любом порядке)</t>
  </si>
  <si>
    <t xml:space="preserve">Aqua, Glycerin, Myristyl Alcohol, Cyclopentasiloxane, Panthenol, Quaternium-80, Isononyl Isononanoate, Benzyl Alcohol, Amodimethicone, Cetrimonium Chloride, Butylene Glycol, Parfum, Sodium Benzoate, Ethylhexyl Methoxycinnamate, Hydrolyzed Keratin, Potassium Sorbate, Citric Acid, Trideceth-12, Benzyl Salicylate, Coumarin, Hydroxycitronellal, Limonene, Benzaldehyde, Citrus Limon Peel Oil, Hexamethylindanopyran, Tetramethyl Acetyloctahydronaphthalenes</t>
  </si>
  <si>
    <t xml:space="preserve">Все компоненты после миристилового спирта ниже 1 %, поэтому порядок на этикетке оригинала (Panthenol, Hydrolyzed Keratin, Isononyl Isononanoate, Quaternium-80, Amodimethicone, Cetrimonium Chloride, Trideceth-12, Parfum...) допустим и для этой рецептуры. Доли компонентов в амодиметиконовой эмульсии и активность Quaternium-80 уточнить по TDS.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</si>
</sst>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F5B7A"/>
        <bgColor rgb="FF555555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5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0</v>
      </c>
    </row>
    <row r="2" customFormat="false" ht="5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35.05" hidden="false" customHeight="false" outlineLevel="0" collapsed="false">
      <c r="A6" s="5" t="n">
        <v>1</v>
      </c>
      <c r="B6" s="5" t="s">
        <v>12</v>
      </c>
      <c r="C6" s="6" t="s">
        <v>13</v>
      </c>
      <c r="D6" s="7" t="s">
        <v>14</v>
      </c>
      <c r="E6" s="8" t="n">
        <v>100</v>
      </c>
      <c r="F6" s="9" t="n">
        <f aca="false">100-SUM(F7:F27)</f>
        <v>83.75</v>
      </c>
      <c r="G6" s="9" t="n">
        <f aca="false">F6*E6/100</f>
        <v>83.75</v>
      </c>
      <c r="H6" s="7" t="s">
        <v>15</v>
      </c>
      <c r="I6" s="7" t="s">
        <v>16</v>
      </c>
    </row>
    <row r="7" customFormat="false" ht="15" hidden="false" customHeight="false" outlineLevel="0" collapsed="false">
      <c r="A7" s="5" t="n">
        <v>2</v>
      </c>
      <c r="B7" s="5" t="s">
        <v>12</v>
      </c>
      <c r="C7" s="6" t="s">
        <v>17</v>
      </c>
      <c r="D7" s="7" t="s">
        <v>18</v>
      </c>
      <c r="E7" s="8" t="n">
        <v>99.5</v>
      </c>
      <c r="F7" s="10" t="n">
        <v>3</v>
      </c>
      <c r="G7" s="9" t="n">
        <f aca="false">F7*E7/100</f>
        <v>2.985</v>
      </c>
      <c r="H7" s="7" t="s">
        <v>19</v>
      </c>
      <c r="I7" s="7" t="s">
        <v>20</v>
      </c>
    </row>
    <row r="8" customFormat="false" ht="23.85" hidden="false" customHeight="false" outlineLevel="0" collapsed="false">
      <c r="A8" s="5" t="n">
        <v>3</v>
      </c>
      <c r="B8" s="5" t="s">
        <v>12</v>
      </c>
      <c r="C8" s="6" t="s">
        <v>21</v>
      </c>
      <c r="D8" s="7" t="s">
        <v>22</v>
      </c>
      <c r="E8" s="8" t="n">
        <v>100</v>
      </c>
      <c r="F8" s="10" t="n">
        <v>0.5</v>
      </c>
      <c r="G8" s="9" t="n">
        <f aca="false">F8*E8/100</f>
        <v>0.5</v>
      </c>
      <c r="H8" s="7" t="s">
        <v>23</v>
      </c>
      <c r="I8" s="7" t="s">
        <v>24</v>
      </c>
    </row>
    <row r="9" customFormat="false" ht="57.45" hidden="false" customHeight="false" outlineLevel="0" collapsed="false">
      <c r="A9" s="5" t="n">
        <v>4</v>
      </c>
      <c r="B9" s="5" t="s">
        <v>12</v>
      </c>
      <c r="C9" s="6" t="s">
        <v>25</v>
      </c>
      <c r="D9" s="7" t="s">
        <v>26</v>
      </c>
      <c r="E9" s="8" t="n">
        <v>30</v>
      </c>
      <c r="F9" s="10" t="n">
        <v>1.7</v>
      </c>
      <c r="G9" s="9" t="n">
        <f aca="false">F9*E9/100</f>
        <v>0.51</v>
      </c>
      <c r="H9" s="7" t="s">
        <v>27</v>
      </c>
      <c r="I9" s="7" t="s">
        <v>28</v>
      </c>
    </row>
    <row r="10" customFormat="false" ht="15" hidden="false" customHeight="false" outlineLevel="0" collapsed="false">
      <c r="A10" s="4" t="s">
        <v>29</v>
      </c>
      <c r="B10" s="4"/>
      <c r="C10" s="4"/>
      <c r="D10" s="4"/>
      <c r="E10" s="4"/>
      <c r="F10" s="4"/>
      <c r="G10" s="4"/>
      <c r="H10" s="4"/>
      <c r="I10" s="4"/>
    </row>
    <row r="11" customFormat="false" ht="23.85" hidden="false" customHeight="false" outlineLevel="0" collapsed="false">
      <c r="A11" s="5" t="n">
        <v>5</v>
      </c>
      <c r="B11" s="5" t="s">
        <v>30</v>
      </c>
      <c r="C11" s="6" t="s">
        <v>31</v>
      </c>
      <c r="D11" s="7" t="s">
        <v>32</v>
      </c>
      <c r="E11" s="8" t="n">
        <v>100</v>
      </c>
      <c r="F11" s="10" t="n">
        <v>1.5</v>
      </c>
      <c r="G11" s="9" t="n">
        <f aca="false">F11*E11/100</f>
        <v>1.5</v>
      </c>
      <c r="H11" s="7" t="s">
        <v>33</v>
      </c>
      <c r="I11" s="7" t="s">
        <v>34</v>
      </c>
    </row>
    <row r="12" customFormat="false" ht="23.85" hidden="false" customHeight="false" outlineLevel="0" collapsed="false">
      <c r="A12" s="5" t="n">
        <v>6</v>
      </c>
      <c r="B12" s="5" t="s">
        <v>30</v>
      </c>
      <c r="C12" s="6" t="s">
        <v>35</v>
      </c>
      <c r="D12" s="7" t="s">
        <v>36</v>
      </c>
      <c r="E12" s="8" t="n">
        <v>100</v>
      </c>
      <c r="F12" s="10" t="n">
        <v>0.8</v>
      </c>
      <c r="G12" s="9" t="n">
        <f aca="false">F12*E12/100</f>
        <v>0.8</v>
      </c>
      <c r="H12" s="7" t="s">
        <v>37</v>
      </c>
      <c r="I12" s="7" t="s">
        <v>38</v>
      </c>
    </row>
    <row r="13" customFormat="false" ht="23.85" hidden="false" customHeight="false" outlineLevel="0" collapsed="false">
      <c r="A13" s="5" t="n">
        <v>7</v>
      </c>
      <c r="B13" s="5" t="s">
        <v>30</v>
      </c>
      <c r="C13" s="6" t="s">
        <v>39</v>
      </c>
      <c r="D13" s="7" t="s">
        <v>40</v>
      </c>
      <c r="E13" s="8" t="n">
        <v>100</v>
      </c>
      <c r="F13" s="10" t="n">
        <v>0.3</v>
      </c>
      <c r="G13" s="9" t="n">
        <f aca="false">F13*E13/100</f>
        <v>0.3</v>
      </c>
      <c r="H13" s="7" t="s">
        <v>41</v>
      </c>
      <c r="I13" s="7" t="s">
        <v>42</v>
      </c>
    </row>
    <row r="14" customFormat="false" ht="15" hidden="false" customHeight="false" outlineLevel="0" collapsed="false">
      <c r="A14" s="4" t="s">
        <v>43</v>
      </c>
      <c r="B14" s="4"/>
      <c r="C14" s="4"/>
      <c r="D14" s="4"/>
      <c r="E14" s="4"/>
      <c r="F14" s="4"/>
      <c r="G14" s="4"/>
      <c r="H14" s="4"/>
      <c r="I14" s="4"/>
    </row>
    <row r="15" customFormat="false" ht="35.05" hidden="false" customHeight="false" outlineLevel="0" collapsed="false">
      <c r="A15" s="5" t="n">
        <v>8</v>
      </c>
      <c r="B15" s="5" t="s">
        <v>44</v>
      </c>
      <c r="C15" s="6" t="s">
        <v>45</v>
      </c>
      <c r="D15" s="7" t="s">
        <v>46</v>
      </c>
      <c r="E15" s="8" t="n">
        <v>100</v>
      </c>
      <c r="F15" s="10" t="n">
        <v>1.3</v>
      </c>
      <c r="G15" s="9" t="n">
        <f aca="false">F15*E15/100</f>
        <v>1.3</v>
      </c>
      <c r="H15" s="7" t="s">
        <v>47</v>
      </c>
      <c r="I15" s="7" t="s">
        <v>48</v>
      </c>
    </row>
    <row r="16" customFormat="false" ht="15" hidden="false" customHeight="false" outlineLevel="0" collapsed="false">
      <c r="A16" s="4" t="s">
        <v>49</v>
      </c>
      <c r="B16" s="4"/>
      <c r="C16" s="4"/>
      <c r="D16" s="4"/>
      <c r="E16" s="4"/>
      <c r="F16" s="4"/>
      <c r="G16" s="4"/>
      <c r="H16" s="4"/>
      <c r="I16" s="4"/>
    </row>
    <row r="17" customFormat="false" ht="46.25" hidden="false" customHeight="false" outlineLevel="0" collapsed="false">
      <c r="A17" s="5" t="n">
        <v>9</v>
      </c>
      <c r="B17" s="5" t="s">
        <v>50</v>
      </c>
      <c r="C17" s="6" t="s">
        <v>51</v>
      </c>
      <c r="D17" s="7" t="s">
        <v>52</v>
      </c>
      <c r="E17" s="8" t="n">
        <v>100</v>
      </c>
      <c r="F17" s="10" t="n">
        <v>2</v>
      </c>
      <c r="G17" s="9" t="n">
        <f aca="false">F17*E17/100</f>
        <v>2</v>
      </c>
      <c r="H17" s="7" t="s">
        <v>53</v>
      </c>
      <c r="I17" s="7" t="s">
        <v>54</v>
      </c>
    </row>
    <row r="18" customFormat="false" ht="23.85" hidden="false" customHeight="false" outlineLevel="0" collapsed="false">
      <c r="A18" s="5" t="n">
        <v>10</v>
      </c>
      <c r="B18" s="5" t="s">
        <v>50</v>
      </c>
      <c r="C18" s="6" t="s">
        <v>55</v>
      </c>
      <c r="D18" s="7" t="s">
        <v>56</v>
      </c>
      <c r="E18" s="8" t="n">
        <v>100</v>
      </c>
      <c r="F18" s="10" t="n">
        <v>1</v>
      </c>
      <c r="G18" s="9" t="n">
        <f aca="false">F18*E18/100</f>
        <v>1</v>
      </c>
      <c r="H18" s="7" t="s">
        <v>57</v>
      </c>
      <c r="I18" s="7" t="s">
        <v>58</v>
      </c>
    </row>
    <row r="19" customFormat="false" ht="23.85" hidden="false" customHeight="false" outlineLevel="0" collapsed="false">
      <c r="A19" s="5" t="n">
        <v>11</v>
      </c>
      <c r="B19" s="5" t="s">
        <v>50</v>
      </c>
      <c r="C19" s="6" t="s">
        <v>59</v>
      </c>
      <c r="D19" s="7" t="s">
        <v>60</v>
      </c>
      <c r="E19" s="8" t="n">
        <v>75</v>
      </c>
      <c r="F19" s="10" t="n">
        <v>1.3</v>
      </c>
      <c r="G19" s="9" t="n">
        <f aca="false">F19*E19/100</f>
        <v>0.975</v>
      </c>
      <c r="H19" s="7" t="s">
        <v>61</v>
      </c>
      <c r="I19" s="7" t="s">
        <v>62</v>
      </c>
    </row>
    <row r="20" customFormat="false" ht="23.85" hidden="false" customHeight="false" outlineLevel="0" collapsed="false">
      <c r="A20" s="5" t="n">
        <v>12</v>
      </c>
      <c r="B20" s="5" t="s">
        <v>50</v>
      </c>
      <c r="C20" s="6" t="s">
        <v>63</v>
      </c>
      <c r="D20" s="7" t="s">
        <v>64</v>
      </c>
      <c r="E20" s="8" t="n">
        <v>25</v>
      </c>
      <c r="F20" s="10" t="n">
        <v>1</v>
      </c>
      <c r="G20" s="9" t="n">
        <f aca="false">F20*E20/100</f>
        <v>0.25</v>
      </c>
      <c r="H20" s="7" t="s">
        <v>65</v>
      </c>
      <c r="I20" s="7" t="s">
        <v>66</v>
      </c>
    </row>
    <row r="21" customFormat="false" ht="15" hidden="false" customHeight="false" outlineLevel="0" collapsed="false">
      <c r="A21" s="4" t="s">
        <v>67</v>
      </c>
      <c r="B21" s="4"/>
      <c r="C21" s="4"/>
      <c r="D21" s="4"/>
      <c r="E21" s="4"/>
      <c r="F21" s="4"/>
      <c r="G21" s="4"/>
      <c r="H21" s="4"/>
      <c r="I21" s="4"/>
    </row>
    <row r="22" customFormat="false" ht="23.85" hidden="false" customHeight="false" outlineLevel="0" collapsed="false">
      <c r="A22" s="5" t="n">
        <v>13</v>
      </c>
      <c r="B22" s="5" t="s">
        <v>68</v>
      </c>
      <c r="C22" s="6" t="s">
        <v>69</v>
      </c>
      <c r="D22" s="7" t="s">
        <v>70</v>
      </c>
      <c r="E22" s="8" t="n">
        <v>100</v>
      </c>
      <c r="F22" s="10" t="n">
        <v>0.2</v>
      </c>
      <c r="G22" s="9" t="n">
        <f aca="false">F22*E22/100</f>
        <v>0.2</v>
      </c>
      <c r="H22" s="7" t="s">
        <v>71</v>
      </c>
      <c r="I22" s="7" t="s">
        <v>72</v>
      </c>
    </row>
    <row r="23" customFormat="false" ht="35.05" hidden="false" customHeight="false" outlineLevel="0" collapsed="false">
      <c r="A23" s="5" t="n">
        <v>14</v>
      </c>
      <c r="B23" s="5" t="s">
        <v>68</v>
      </c>
      <c r="C23" s="6" t="s">
        <v>73</v>
      </c>
      <c r="D23" s="7" t="s">
        <v>74</v>
      </c>
      <c r="E23" s="8" t="n">
        <v>100</v>
      </c>
      <c r="F23" s="10" t="n">
        <v>0.3</v>
      </c>
      <c r="G23" s="9" t="n">
        <f aca="false">F23*E23/100</f>
        <v>0.3</v>
      </c>
      <c r="H23" s="7" t="s">
        <v>75</v>
      </c>
      <c r="I23" s="7" t="s">
        <v>76</v>
      </c>
    </row>
    <row r="24" customFormat="false" ht="23.85" hidden="false" customHeight="false" outlineLevel="0" collapsed="false">
      <c r="A24" s="5" t="n">
        <v>15</v>
      </c>
      <c r="B24" s="5" t="s">
        <v>68</v>
      </c>
      <c r="C24" s="6" t="s">
        <v>77</v>
      </c>
      <c r="D24" s="7" t="s">
        <v>78</v>
      </c>
      <c r="E24" s="8" t="n">
        <v>100</v>
      </c>
      <c r="F24" s="10" t="n">
        <v>0.6</v>
      </c>
      <c r="G24" s="9" t="n">
        <f aca="false">F24*E24/100</f>
        <v>0.6</v>
      </c>
      <c r="H24" s="7" t="s">
        <v>79</v>
      </c>
      <c r="I24" s="7" t="s">
        <v>80</v>
      </c>
    </row>
    <row r="25" customFormat="false" ht="46.25" hidden="false" customHeight="false" outlineLevel="0" collapsed="false">
      <c r="A25" s="5" t="n">
        <v>16</v>
      </c>
      <c r="B25" s="5" t="s">
        <v>68</v>
      </c>
      <c r="C25" s="6" t="s">
        <v>81</v>
      </c>
      <c r="D25" s="7" t="s">
        <v>82</v>
      </c>
      <c r="E25" s="8" t="n">
        <v>100</v>
      </c>
      <c r="F25" s="10" t="n">
        <v>0.5</v>
      </c>
      <c r="G25" s="9" t="n">
        <f aca="false">F25*E25/100</f>
        <v>0.5</v>
      </c>
      <c r="H25" s="7" t="s">
        <v>83</v>
      </c>
      <c r="I25" s="7" t="s">
        <v>84</v>
      </c>
    </row>
    <row r="26" customFormat="false" ht="15" hidden="false" customHeight="false" outlineLevel="0" collapsed="false">
      <c r="A26" s="4" t="s">
        <v>85</v>
      </c>
      <c r="B26" s="4"/>
      <c r="C26" s="4"/>
      <c r="D26" s="4"/>
      <c r="E26" s="4"/>
      <c r="F26" s="4"/>
      <c r="G26" s="4"/>
      <c r="H26" s="4"/>
      <c r="I26" s="4"/>
    </row>
    <row r="27" customFormat="false" ht="23.85" hidden="false" customHeight="false" outlineLevel="0" collapsed="false">
      <c r="A27" s="5" t="n">
        <v>17</v>
      </c>
      <c r="B27" s="5" t="s">
        <v>86</v>
      </c>
      <c r="C27" s="6" t="s">
        <v>87</v>
      </c>
      <c r="D27" s="7" t="s">
        <v>88</v>
      </c>
      <c r="E27" s="8" t="n">
        <v>100</v>
      </c>
      <c r="F27" s="10" t="n">
        <v>0.25</v>
      </c>
      <c r="G27" s="9" t="n">
        <f aca="false">F27*E27/100</f>
        <v>0.25</v>
      </c>
      <c r="H27" s="7" t="s">
        <v>89</v>
      </c>
      <c r="I27" s="7" t="s">
        <v>90</v>
      </c>
    </row>
    <row r="28" customFormat="false" ht="15" hidden="false" customHeight="false" outlineLevel="0" collapsed="false">
      <c r="A28" s="11"/>
      <c r="B28" s="11"/>
      <c r="C28" s="12" t="s">
        <v>91</v>
      </c>
      <c r="D28" s="11"/>
      <c r="E28" s="11"/>
      <c r="F28" s="13" t="n">
        <f aca="false">SUM(F5:F27)</f>
        <v>100</v>
      </c>
      <c r="G28" s="11"/>
      <c r="H28" s="11"/>
      <c r="I28" s="11"/>
    </row>
    <row r="30" customFormat="false" ht="15" hidden="false" customHeight="false" outlineLevel="0" collapsed="false">
      <c r="C30" s="14" t="s">
        <v>92</v>
      </c>
    </row>
    <row r="31" customFormat="false" ht="15" hidden="false" customHeight="false" outlineLevel="0" collapsed="false">
      <c r="C31" s="15" t="s">
        <v>11</v>
      </c>
      <c r="F31" s="16" t="n">
        <f aca="false">SUM(F6:F9)</f>
        <v>88.95</v>
      </c>
    </row>
    <row r="32" customFormat="false" ht="15" hidden="false" customHeight="false" outlineLevel="0" collapsed="false">
      <c r="C32" s="15" t="s">
        <v>29</v>
      </c>
      <c r="F32" s="16" t="n">
        <f aca="false">SUM(F11:F13)</f>
        <v>2.6</v>
      </c>
    </row>
    <row r="33" customFormat="false" ht="15" hidden="false" customHeight="false" outlineLevel="0" collapsed="false">
      <c r="C33" s="15" t="s">
        <v>43</v>
      </c>
      <c r="F33" s="16" t="n">
        <f aca="false">SUM(F15:F15)</f>
        <v>1.3</v>
      </c>
    </row>
    <row r="34" customFormat="false" ht="15" hidden="false" customHeight="false" outlineLevel="0" collapsed="false">
      <c r="C34" s="15" t="s">
        <v>49</v>
      </c>
      <c r="F34" s="16" t="n">
        <f aca="false">SUM(F17:F20)</f>
        <v>5.3</v>
      </c>
    </row>
    <row r="35" customFormat="false" ht="15" hidden="false" customHeight="false" outlineLevel="0" collapsed="false">
      <c r="C35" s="15" t="s">
        <v>67</v>
      </c>
      <c r="F35" s="16" t="n">
        <f aca="false">SUM(F22:F25)</f>
        <v>1.6</v>
      </c>
    </row>
    <row r="36" customFormat="false" ht="15" hidden="false" customHeight="false" outlineLevel="0" collapsed="false">
      <c r="C36" s="15" t="s">
        <v>85</v>
      </c>
      <c r="F36" s="16" t="n">
        <f aca="false">SUM(F27:F27)</f>
        <v>0.25</v>
      </c>
    </row>
    <row r="37" customFormat="false" ht="15" hidden="false" customHeight="false" outlineLevel="0" collapsed="false">
      <c r="C37" s="15" t="s">
        <v>93</v>
      </c>
      <c r="F37" s="16" t="n">
        <f aca="false">SUM(F12:F13)+SUM(F15:F15)</f>
        <v>2.4</v>
      </c>
    </row>
    <row r="38" customFormat="false" ht="15" hidden="false" customHeight="false" outlineLevel="0" collapsed="false">
      <c r="C38" s="15" t="s">
        <v>94</v>
      </c>
      <c r="F38" s="16" t="n">
        <f aca="false">SUM(F11:F11)</f>
        <v>1.5</v>
      </c>
    </row>
    <row r="40" customFormat="false" ht="30" hidden="false" customHeight="true" outlineLevel="0" collapsed="false">
      <c r="C40" s="2" t="s">
        <v>95</v>
      </c>
      <c r="D40" s="2"/>
      <c r="E40" s="2"/>
      <c r="F40" s="2"/>
      <c r="G40" s="2"/>
      <c r="H40" s="2"/>
      <c r="I40" s="2"/>
    </row>
  </sheetData>
  <mergeCells count="8">
    <mergeCell ref="A2:I2"/>
    <mergeCell ref="A5:I5"/>
    <mergeCell ref="A10:I10"/>
    <mergeCell ref="A14:I14"/>
    <mergeCell ref="A16:I16"/>
    <mergeCell ref="A21:I21"/>
    <mergeCell ref="A26:I26"/>
    <mergeCell ref="C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3" t="s">
        <v>97</v>
      </c>
      <c r="B3" s="3" t="s">
        <v>98</v>
      </c>
      <c r="C3" s="3" t="s">
        <v>99</v>
      </c>
    </row>
    <row r="4" customFormat="false" ht="23.85" hidden="false" customHeight="false" outlineLevel="0" collapsed="false">
      <c r="A4" s="7" t="s">
        <v>100</v>
      </c>
      <c r="B4" s="7" t="s">
        <v>101</v>
      </c>
      <c r="C4" s="7" t="s">
        <v>102</v>
      </c>
    </row>
    <row r="5" customFormat="false" ht="15" hidden="false" customHeight="false" outlineLevel="0" collapsed="false">
      <c r="A5" s="7" t="s">
        <v>103</v>
      </c>
      <c r="B5" s="7" t="s">
        <v>104</v>
      </c>
      <c r="C5" s="7" t="s">
        <v>105</v>
      </c>
    </row>
    <row r="6" customFormat="false" ht="23.85" hidden="false" customHeight="false" outlineLevel="0" collapsed="false">
      <c r="A6" s="7" t="s">
        <v>106</v>
      </c>
      <c r="B6" s="7" t="s">
        <v>107</v>
      </c>
      <c r="C6" s="7" t="s">
        <v>108</v>
      </c>
    </row>
    <row r="7" customFormat="false" ht="15" hidden="false" customHeight="false" outlineLevel="0" collapsed="false">
      <c r="A7" s="7" t="s">
        <v>109</v>
      </c>
      <c r="B7" s="7" t="s">
        <v>110</v>
      </c>
      <c r="C7" s="7" t="s">
        <v>111</v>
      </c>
    </row>
    <row r="8" customFormat="false" ht="23.85" hidden="false" customHeight="false" outlineLevel="0" collapsed="false">
      <c r="A8" s="7" t="s">
        <v>112</v>
      </c>
      <c r="B8" s="7" t="s">
        <v>113</v>
      </c>
      <c r="C8" s="7" t="s">
        <v>114</v>
      </c>
    </row>
    <row r="9" customFormat="false" ht="23.85" hidden="false" customHeight="false" outlineLevel="0" collapsed="false">
      <c r="A9" s="7" t="s">
        <v>115</v>
      </c>
      <c r="B9" s="7" t="s">
        <v>116</v>
      </c>
      <c r="C9" s="7" t="s">
        <v>117</v>
      </c>
    </row>
    <row r="10" customFormat="false" ht="23.85" hidden="false" customHeight="false" outlineLevel="0" collapsed="false">
      <c r="A10" s="7" t="s">
        <v>118</v>
      </c>
      <c r="B10" s="7" t="s">
        <v>119</v>
      </c>
      <c r="C10" s="7" t="s">
        <v>120</v>
      </c>
    </row>
    <row r="12" customFormat="false" ht="15" hidden="false" customHeight="false" outlineLevel="0" collapsed="false">
      <c r="A12" s="14" t="s">
        <v>121</v>
      </c>
    </row>
    <row r="13" customFormat="false" ht="15" hidden="false" customHeight="false" outlineLevel="0" collapsed="false">
      <c r="A13" s="3"/>
      <c r="B13" s="3" t="s">
        <v>122</v>
      </c>
      <c r="C13" s="3" t="s">
        <v>123</v>
      </c>
    </row>
    <row r="14" customFormat="false" ht="15" hidden="false" customHeight="false" outlineLevel="0" collapsed="false">
      <c r="A14" s="7"/>
      <c r="B14" s="7" t="s">
        <v>124</v>
      </c>
      <c r="C14" s="7" t="s">
        <v>125</v>
      </c>
    </row>
    <row r="15" customFormat="false" ht="15" hidden="false" customHeight="false" outlineLevel="0" collapsed="false">
      <c r="A15" s="7"/>
      <c r="B15" s="7" t="s">
        <v>126</v>
      </c>
      <c r="C15" s="7" t="s">
        <v>127</v>
      </c>
    </row>
    <row r="16" customFormat="false" ht="15" hidden="false" customHeight="false" outlineLevel="0" collapsed="false">
      <c r="A16" s="7"/>
      <c r="B16" s="7" t="s">
        <v>128</v>
      </c>
      <c r="C16" s="7" t="s">
        <v>129</v>
      </c>
    </row>
    <row r="17" customFormat="false" ht="15" hidden="false" customHeight="false" outlineLevel="0" collapsed="false">
      <c r="A17" s="7"/>
      <c r="B17" s="7" t="s">
        <v>130</v>
      </c>
      <c r="C17" s="7" t="s">
        <v>131</v>
      </c>
    </row>
    <row r="18" customFormat="false" ht="15" hidden="false" customHeight="false" outlineLevel="0" collapsed="false">
      <c r="A18" s="7"/>
      <c r="B18" s="7" t="s">
        <v>132</v>
      </c>
      <c r="C18" s="7" t="s">
        <v>133</v>
      </c>
    </row>
    <row r="19" customFormat="false" ht="15" hidden="false" customHeight="false" outlineLevel="0" collapsed="false">
      <c r="A19" s="7"/>
      <c r="B19" s="7" t="s">
        <v>134</v>
      </c>
      <c r="C19" s="7" t="s">
        <v>135</v>
      </c>
    </row>
    <row r="20" customFormat="false" ht="15" hidden="false" customHeight="false" outlineLevel="0" collapsed="false">
      <c r="A20" s="7"/>
      <c r="B20" s="7" t="s">
        <v>136</v>
      </c>
      <c r="C20" s="7" t="s">
        <v>137</v>
      </c>
    </row>
    <row r="22" customFormat="false" ht="15" hidden="false" customHeight="false" outlineLevel="0" collapsed="false">
      <c r="A22" s="14" t="s">
        <v>138</v>
      </c>
    </row>
    <row r="23" customFormat="false" ht="15" hidden="false" customHeight="false" outlineLevel="0" collapsed="false">
      <c r="A23" s="3"/>
      <c r="B23" s="3" t="s">
        <v>139</v>
      </c>
      <c r="C23" s="3" t="s">
        <v>140</v>
      </c>
    </row>
    <row r="24" customFormat="false" ht="15" hidden="false" customHeight="false" outlineLevel="0" collapsed="false">
      <c r="A24" s="7"/>
      <c r="B24" s="7" t="s">
        <v>141</v>
      </c>
      <c r="C24" s="7" t="s">
        <v>142</v>
      </c>
    </row>
    <row r="25" customFormat="false" ht="15" hidden="false" customHeight="false" outlineLevel="0" collapsed="false">
      <c r="A25" s="7"/>
      <c r="B25" s="7" t="s">
        <v>143</v>
      </c>
      <c r="C25" s="7" t="s">
        <v>144</v>
      </c>
    </row>
    <row r="26" customFormat="false" ht="15" hidden="false" customHeight="false" outlineLevel="0" collapsed="false">
      <c r="A26" s="7"/>
      <c r="B26" s="7" t="s">
        <v>145</v>
      </c>
      <c r="C26" s="7" t="s">
        <v>146</v>
      </c>
    </row>
    <row r="27" customFormat="false" ht="23.85" hidden="false" customHeight="false" outlineLevel="0" collapsed="false">
      <c r="A27" s="7"/>
      <c r="B27" s="7" t="s">
        <v>147</v>
      </c>
      <c r="C27" s="7" t="s">
        <v>148</v>
      </c>
    </row>
    <row r="28" customFormat="false" ht="15" hidden="false" customHeight="false" outlineLevel="0" collapsed="false">
      <c r="A28" s="7"/>
      <c r="B28" s="7" t="s">
        <v>149</v>
      </c>
      <c r="C28" s="7" t="s">
        <v>150</v>
      </c>
    </row>
    <row r="29" customFormat="false" ht="15" hidden="false" customHeight="false" outlineLevel="0" collapsed="false">
      <c r="A29" s="7"/>
      <c r="B29" s="7" t="s">
        <v>151</v>
      </c>
      <c r="C29" s="7" t="s">
        <v>152</v>
      </c>
    </row>
    <row r="30" customFormat="false" ht="15" hidden="false" customHeight="false" outlineLevel="0" collapsed="false">
      <c r="A30" s="7"/>
      <c r="B30" s="7" t="s">
        <v>153</v>
      </c>
      <c r="C30" s="7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155</v>
      </c>
    </row>
    <row r="3" customFormat="false" ht="15" hidden="false" customHeight="false" outlineLevel="0" collapsed="false">
      <c r="A3" s="14" t="s">
        <v>156</v>
      </c>
    </row>
    <row r="4" customFormat="false" ht="15" hidden="false" customHeight="false" outlineLevel="0" collapsed="false">
      <c r="A4" s="3" t="s">
        <v>157</v>
      </c>
      <c r="B4" s="3" t="s">
        <v>158</v>
      </c>
      <c r="C4" s="3" t="s">
        <v>159</v>
      </c>
    </row>
    <row r="5" customFormat="false" ht="68.65" hidden="false" customHeight="false" outlineLevel="0" collapsed="false">
      <c r="A5" s="6" t="s">
        <v>160</v>
      </c>
      <c r="B5" s="7" t="s">
        <v>161</v>
      </c>
      <c r="C5" s="7" t="s">
        <v>162</v>
      </c>
    </row>
    <row r="6" customFormat="false" ht="46.25" hidden="false" customHeight="false" outlineLevel="0" collapsed="false">
      <c r="A6" s="6" t="s">
        <v>25</v>
      </c>
      <c r="B6" s="7" t="s">
        <v>163</v>
      </c>
      <c r="C6" s="7" t="s">
        <v>164</v>
      </c>
    </row>
    <row r="7" customFormat="false" ht="35.05" hidden="false" customHeight="false" outlineLevel="0" collapsed="false">
      <c r="A7" s="6" t="s">
        <v>45</v>
      </c>
      <c r="B7" s="7" t="s">
        <v>165</v>
      </c>
      <c r="C7" s="7" t="s">
        <v>166</v>
      </c>
    </row>
    <row r="8" customFormat="false" ht="35.05" hidden="false" customHeight="false" outlineLevel="0" collapsed="false">
      <c r="A8" s="6" t="s">
        <v>167</v>
      </c>
      <c r="B8" s="7" t="s">
        <v>168</v>
      </c>
      <c r="C8" s="7" t="s">
        <v>169</v>
      </c>
    </row>
    <row r="9" customFormat="false" ht="23.85" hidden="false" customHeight="false" outlineLevel="0" collapsed="false">
      <c r="A9" s="6" t="s">
        <v>170</v>
      </c>
      <c r="B9" s="7" t="s">
        <v>168</v>
      </c>
      <c r="C9" s="7" t="s">
        <v>171</v>
      </c>
    </row>
    <row r="11" customFormat="false" ht="15" hidden="false" customHeight="false" outlineLevel="0" collapsed="false">
      <c r="A11" s="14" t="s">
        <v>172</v>
      </c>
    </row>
    <row r="12" customFormat="false" ht="15" hidden="false" customHeight="false" outlineLevel="0" collapsed="false">
      <c r="A12" s="3" t="s">
        <v>173</v>
      </c>
      <c r="B12" s="3" t="s">
        <v>174</v>
      </c>
      <c r="C12" s="3" t="s">
        <v>175</v>
      </c>
      <c r="D12" s="3" t="s">
        <v>176</v>
      </c>
    </row>
    <row r="13" customFormat="false" ht="15" hidden="false" customHeight="false" outlineLevel="0" collapsed="false">
      <c r="A13" s="6" t="s">
        <v>25</v>
      </c>
      <c r="B13" s="7" t="s">
        <v>177</v>
      </c>
      <c r="C13" s="7" t="s">
        <v>178</v>
      </c>
      <c r="D13" s="7" t="s">
        <v>179</v>
      </c>
    </row>
    <row r="14" customFormat="false" ht="15" hidden="false" customHeight="false" outlineLevel="0" collapsed="false">
      <c r="A14" s="6" t="s">
        <v>77</v>
      </c>
      <c r="B14" s="7" t="s">
        <v>180</v>
      </c>
      <c r="C14" s="7" t="s">
        <v>181</v>
      </c>
      <c r="D14" s="7" t="s">
        <v>182</v>
      </c>
    </row>
    <row r="15" customFormat="false" ht="15" hidden="false" customHeight="false" outlineLevel="0" collapsed="false">
      <c r="A15" s="6" t="s">
        <v>183</v>
      </c>
      <c r="B15" s="7" t="s">
        <v>184</v>
      </c>
      <c r="C15" s="7" t="s">
        <v>185</v>
      </c>
      <c r="D15" s="7" t="s">
        <v>186</v>
      </c>
    </row>
    <row r="16" customFormat="false" ht="15" hidden="false" customHeight="false" outlineLevel="0" collapsed="false">
      <c r="A16" s="6" t="s">
        <v>187</v>
      </c>
      <c r="B16" s="7" t="s">
        <v>188</v>
      </c>
      <c r="C16" s="7" t="s">
        <v>189</v>
      </c>
      <c r="D16" s="7" t="s">
        <v>190</v>
      </c>
    </row>
    <row r="17" customFormat="false" ht="15" hidden="false" customHeight="false" outlineLevel="0" collapsed="false">
      <c r="A17" s="6" t="s">
        <v>39</v>
      </c>
      <c r="B17" s="7" t="s">
        <v>191</v>
      </c>
      <c r="C17" s="7" t="s">
        <v>192</v>
      </c>
      <c r="D17" s="7" t="s">
        <v>193</v>
      </c>
    </row>
    <row r="18" customFormat="false" ht="23.85" hidden="false" customHeight="false" outlineLevel="0" collapsed="false">
      <c r="A18" s="6" t="s">
        <v>194</v>
      </c>
      <c r="B18" s="7" t="s">
        <v>195</v>
      </c>
      <c r="C18" s="7" t="s">
        <v>196</v>
      </c>
      <c r="D18" s="7" t="s">
        <v>197</v>
      </c>
    </row>
    <row r="19" customFormat="false" ht="35.05" hidden="false" customHeight="false" outlineLevel="0" collapsed="false">
      <c r="A19" s="6" t="s">
        <v>198</v>
      </c>
      <c r="B19" s="7" t="s">
        <v>199</v>
      </c>
      <c r="C19" s="7" t="s">
        <v>200</v>
      </c>
      <c r="D19" s="7" t="s">
        <v>201</v>
      </c>
    </row>
    <row r="20" customFormat="false" ht="15" hidden="false" customHeight="false" outlineLevel="0" collapsed="false">
      <c r="A20" s="6" t="s">
        <v>202</v>
      </c>
      <c r="B20" s="7" t="s">
        <v>203</v>
      </c>
      <c r="C20" s="7" t="s">
        <v>204</v>
      </c>
      <c r="D20" s="7" t="s">
        <v>205</v>
      </c>
    </row>
    <row r="21" customFormat="false" ht="23.85" hidden="false" customHeight="false" outlineLevel="0" collapsed="false">
      <c r="A21" s="6" t="s">
        <v>206</v>
      </c>
      <c r="B21" s="7" t="s">
        <v>207</v>
      </c>
      <c r="C21" s="7" t="s">
        <v>208</v>
      </c>
      <c r="D21" s="7" t="s">
        <v>209</v>
      </c>
    </row>
    <row r="23" customFormat="false" ht="15" hidden="false" customHeight="false" outlineLevel="0" collapsed="false">
      <c r="A23" s="14" t="s">
        <v>210</v>
      </c>
    </row>
    <row r="24" customFormat="false" ht="109.5" hidden="false" customHeight="true" outlineLevel="0" collapsed="false">
      <c r="A24" s="17" t="s">
        <v>211</v>
      </c>
      <c r="B24" s="17"/>
      <c r="C24" s="17"/>
      <c r="D24" s="17"/>
    </row>
    <row r="26" customFormat="false" ht="30" hidden="false" customHeight="true" outlineLevel="0" collapsed="false">
      <c r="A26" s="2" t="s">
        <v>212</v>
      </c>
      <c r="B26" s="2"/>
      <c r="C26" s="2"/>
      <c r="D26" s="2"/>
    </row>
  </sheetData>
  <mergeCells count="2">
    <mergeCell ref="A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2026-10-08T21:30:47Z</dcterms:created>
  <dc:creator>openpyxl</dc:creator>
  <dc:description/>
  <dc:language>en-US</dc:language>
  <cp:lastModifiedBy/>
  <dcterms:modified xsi:type="dcterms:W3CDTF">2026-10-08T21:30:47Z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